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ein\OneDrive\Desktop\"/>
    </mc:Choice>
  </mc:AlternateContent>
  <xr:revisionPtr revIDLastSave="0" documentId="8_{69B0DCF0-EE30-4FE6-BEFB-1BC1846883EC}" xr6:coauthVersionLast="47" xr6:coauthVersionMax="47" xr10:uidLastSave="{00000000-0000-0000-0000-000000000000}"/>
  <bookViews>
    <workbookView xWindow="-25710" yWindow="-1440" windowWidth="25820" windowHeight="15760" xr2:uid="{2E6189CA-757E-409F-8A1E-4CA498BF9058}"/>
  </bookViews>
  <sheets>
    <sheet name="Sheet1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7" i="1" l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P65" i="1"/>
  <c r="Q38" i="1"/>
  <c r="Q37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M7" i="1"/>
</calcChain>
</file>

<file path=xl/sharedStrings.xml><?xml version="1.0" encoding="utf-8"?>
<sst xmlns="http://schemas.openxmlformats.org/spreadsheetml/2006/main" count="10147" uniqueCount="110">
  <si>
    <t>Barry Reinschreiber</t>
  </si>
  <si>
    <t>Part 1: Data Manipulation &amp; Cleaning</t>
  </si>
  <si>
    <t>First Name</t>
  </si>
  <si>
    <t>Last Name</t>
  </si>
  <si>
    <t>john</t>
  </si>
  <si>
    <t xml:space="preserve">           john       </t>
  </si>
  <si>
    <t>SMITH</t>
  </si>
  <si>
    <t>Cleaned</t>
  </si>
  <si>
    <t>Excel Practice Exam 1</t>
  </si>
  <si>
    <t>Email Address</t>
  </si>
  <si>
    <t>john@gmail.com</t>
  </si>
  <si>
    <t>Robert@gmail.com</t>
  </si>
  <si>
    <t>Terry@hotmail.com</t>
  </si>
  <si>
    <t>breiner@socal.rr.com</t>
  </si>
  <si>
    <t>jorholer@azu.co.jp</t>
  </si>
  <si>
    <t>scvonline@starcraft.com</t>
  </si>
  <si>
    <t>janicer325@gmail.com</t>
  </si>
  <si>
    <t>Peslami@csun.edu</t>
  </si>
  <si>
    <t>needmorepylons@starcraft.com</t>
  </si>
  <si>
    <t>adamsmith@hotmail.com</t>
  </si>
  <si>
    <t>person@company.com</t>
  </si>
  <si>
    <t>person@gmail.com</t>
  </si>
  <si>
    <t>gmail.com</t>
  </si>
  <si>
    <t>Robert</t>
  </si>
  <si>
    <t>Terry</t>
  </si>
  <si>
    <t>hotmail.com</t>
  </si>
  <si>
    <t>breiner</t>
  </si>
  <si>
    <t>socal.rr.com</t>
  </si>
  <si>
    <t>jorholer</t>
  </si>
  <si>
    <t>azu.co.jp</t>
  </si>
  <si>
    <t>scvonline</t>
  </si>
  <si>
    <t>starcraft.com</t>
  </si>
  <si>
    <t>janicer325</t>
  </si>
  <si>
    <t>Peslami</t>
  </si>
  <si>
    <t>csun.edu</t>
  </si>
  <si>
    <t>needmorepylons</t>
  </si>
  <si>
    <t>adamsmith</t>
  </si>
  <si>
    <t>person</t>
  </si>
  <si>
    <t>company.com</t>
  </si>
  <si>
    <t>Username</t>
  </si>
  <si>
    <t>Domain</t>
  </si>
  <si>
    <t>Part 2: Formulas &amp; Logic</t>
  </si>
  <si>
    <t>Transaction ID</t>
  </si>
  <si>
    <t>Region</t>
  </si>
  <si>
    <t>Sales Representative Name</t>
  </si>
  <si>
    <t>Sale Amount ($)</t>
  </si>
  <si>
    <t>North</t>
  </si>
  <si>
    <t>South</t>
  </si>
  <si>
    <t>East</t>
  </si>
  <si>
    <t>West</t>
  </si>
  <si>
    <t>Table 1</t>
  </si>
  <si>
    <t>Table 2</t>
  </si>
  <si>
    <t>Commission Rate (%)</t>
  </si>
  <si>
    <t>Column1</t>
  </si>
  <si>
    <t>TXN-1001</t>
  </si>
  <si>
    <t>Sarah Chen</t>
  </si>
  <si>
    <t>TXN-1002</t>
  </si>
  <si>
    <t>Marcus Vance</t>
  </si>
  <si>
    <t>TXN-1003</t>
  </si>
  <si>
    <t>Elena Rostova</t>
  </si>
  <si>
    <t>TXN-1004</t>
  </si>
  <si>
    <t>David Miller</t>
  </si>
  <si>
    <t>TXN-1005</t>
  </si>
  <si>
    <t>Amara Diop</t>
  </si>
  <si>
    <t>TXN-1006</t>
  </si>
  <si>
    <t>Jordan Taylor</t>
  </si>
  <si>
    <t>TXN-1007</t>
  </si>
  <si>
    <t>TXN-1008</t>
  </si>
  <si>
    <t>TXN-1009</t>
  </si>
  <si>
    <t>TXN-1010</t>
  </si>
  <si>
    <t>TXN-1011</t>
  </si>
  <si>
    <t>TXN-1012</t>
  </si>
  <si>
    <t>TXN-1013</t>
  </si>
  <si>
    <t>TXN-1014</t>
  </si>
  <si>
    <t>TXN-1015</t>
  </si>
  <si>
    <t>TXN-1016</t>
  </si>
  <si>
    <t>TXN-1017</t>
  </si>
  <si>
    <t>TXN-1018</t>
  </si>
  <si>
    <t>TXN-1019</t>
  </si>
  <si>
    <t>TXN-1020</t>
  </si>
  <si>
    <t>TXN-1021</t>
  </si>
  <si>
    <t>TXN-1022</t>
  </si>
  <si>
    <t>TXN-1023</t>
  </si>
  <si>
    <t>TXN-1024</t>
  </si>
  <si>
    <t>TXN-1025</t>
  </si>
  <si>
    <t>Q6</t>
  </si>
  <si>
    <t>Q5</t>
  </si>
  <si>
    <t>Column2</t>
  </si>
  <si>
    <t>Part 3: Data Analysis</t>
  </si>
  <si>
    <t>Order Date</t>
  </si>
  <si>
    <t>Category</t>
  </si>
  <si>
    <t>Sub-Category</t>
  </si>
  <si>
    <t>Profit ($)</t>
  </si>
  <si>
    <t>Technology</t>
  </si>
  <si>
    <t>Phones</t>
  </si>
  <si>
    <t>Office Supplies</t>
  </si>
  <si>
    <t>Paper</t>
  </si>
  <si>
    <t>Furniture</t>
  </si>
  <si>
    <t>Chairs</t>
  </si>
  <si>
    <t>Binders</t>
  </si>
  <si>
    <t>Accessories</t>
  </si>
  <si>
    <t>Tables</t>
  </si>
  <si>
    <t>Storage</t>
  </si>
  <si>
    <t>Machines</t>
  </si>
  <si>
    <t>Furnishings</t>
  </si>
  <si>
    <t>Art</t>
  </si>
  <si>
    <t>Copiers</t>
  </si>
  <si>
    <t>Bookcases</t>
  </si>
  <si>
    <t>Appliances</t>
  </si>
  <si>
    <t>Fasteners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</si>
</sst>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5" x14ac:knownFonts="1">
    <font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 applyAlignment="1">
      <alignment horizontal="left"/>
    </xf>
    <xf numFmtId="0" fontId="2" fillId="0" borderId="0" xfId="0" applyFont="1"/>
    <xf numFmtId="0" fontId="3" fillId="0" borderId="0" xfId="2"/>
    <xf numFmtId="6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14" fontId="0" fillId="0" borderId="0" xfId="0" applyNumberFormat="1"/>
    <xf numFmtId="8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  <dxf>
      <numFmt numFmtId="12" formatCode="&quot;$&quot;#,##0.00_);[Red]\(&quot;$&quot;#,##0.00\)"/>
    </dxf>
    <dxf>
      <numFmt numFmtId="19" formatCode="m/d/yyyy"/>
    </dxf>
    <dxf>
      <numFmt numFmtId="0" formatCode="General"/>
    </dxf>
    <dxf>
      <numFmt numFmtId="0" formatCode="General"/>
    </dxf>
    <dxf>
      <numFmt numFmtId="14" formatCode="0.00%"/>
    </dxf>
    <dxf>
      <numFmt numFmtId="10" formatCode="&quot;$&quot;#,##0_);[Red]\(&quot;$&quot;#,##0\)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9</xdr:col>
      <xdr:colOff>571864</xdr:colOff>
      <xdr:row>20</xdr:row>
      <xdr:rowOff>171640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0437A9-3641-54D5-E697-D7CA69819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5900" y="1174750"/>
          <a:ext cx="7074264" cy="369589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8</xdr:col>
      <xdr:colOff>241300</xdr:colOff>
      <xdr:row>31</xdr:row>
      <xdr:rowOff>114300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0DD9ED0-3BAB-98A9-E5ED-974545624E53}"/>
            </a:ext>
          </a:extLst>
        </xdr:cNvPr>
        <xdr:cNvSpPr txBox="1"/>
      </xdr:nvSpPr>
      <xdr:spPr>
        <a:xfrm>
          <a:off x="1485900" y="5168900"/>
          <a:ext cx="5930900" cy="2228850"/>
        </a:xfrm>
        <a:prstGeom prst="rect">
          <a:avLst/>
        </a:prstGeom>
        <a:ln w="9525"/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/>
            <a:t>Questions</a:t>
          </a:r>
        </a:p>
        <a:p>
          <a:endParaRPr lang="en-US" sz="1100"/>
        </a:p>
        <a:p>
          <a:r>
            <a:rPr lang="en-US" sz="1100"/>
            <a:t>1. =PROPER(TEXTJOIN(" ",TRUE,TRIM(K7),L7)) or =PROPER(CONCAT(TRIM(K7)&amp;" "&amp;L7))</a:t>
          </a:r>
        </a:p>
        <a:p>
          <a:endParaRPr lang="en-US" sz="1100"/>
        </a:p>
        <a:p>
          <a:r>
            <a:rPr lang="en-US" sz="1100"/>
            <a:t>2. Select the rows &gt; Data tab &gt; Text to Columns</a:t>
          </a:r>
          <a:r>
            <a:rPr lang="en-US" sz="1100" baseline="0"/>
            <a:t> &gt; data type: delimiter &gt; treat @ as the delimiter &gt; destination in next column over</a:t>
          </a:r>
          <a:endParaRPr lang="en-US" sz="1100"/>
        </a:p>
      </xdr:txBody>
    </xdr:sp>
    <xdr:clientData/>
  </xdr:twoCellAnchor>
  <xdr:twoCellAnchor editAs="oneCell">
    <xdr:from>
      <xdr:col>1</xdr:col>
      <xdr:colOff>0</xdr:colOff>
      <xdr:row>35</xdr:row>
      <xdr:rowOff>0</xdr:rowOff>
    </xdr:from>
    <xdr:to>
      <xdr:col>9</xdr:col>
      <xdr:colOff>686169</xdr:colOff>
      <xdr:row>65</xdr:row>
      <xdr:rowOff>82917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EA18735-C2F9-9E5B-CA09-12D21E536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2900" y="8223250"/>
          <a:ext cx="7188569" cy="7131417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67</xdr:row>
      <xdr:rowOff>0</xdr:rowOff>
    </xdr:from>
    <xdr:to>
      <xdr:col>10</xdr:col>
      <xdr:colOff>38100</xdr:colOff>
      <xdr:row>78</xdr:row>
      <xdr:rowOff>27214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30D61CA-C71F-468E-993F-E708AA506B7C}"/>
            </a:ext>
          </a:extLst>
        </xdr:cNvPr>
        <xdr:cNvSpPr txBox="1"/>
      </xdr:nvSpPr>
      <xdr:spPr>
        <a:xfrm>
          <a:off x="1614714" y="15802429"/>
          <a:ext cx="7385957" cy="2621642"/>
        </a:xfrm>
        <a:prstGeom prst="rect">
          <a:avLst/>
        </a:prstGeom>
        <a:ln w="9525"/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en-US" sz="1100"/>
            <a:t>Questions</a:t>
          </a:r>
        </a:p>
        <a:p>
          <a:endParaRPr lang="en-US" sz="1100"/>
        </a:p>
        <a:p>
          <a:r>
            <a:rPr lang="en-US" sz="1100"/>
            <a:t>3.</a:t>
          </a:r>
          <a:r>
            <a:rPr lang="en-US" sz="1100" baseline="0"/>
            <a:t> =XLOOKUP([@[Sales Representative Name]],rep_directory[Sales Representative Name],rep_directory[Commission Rate (%)])</a:t>
          </a:r>
        </a:p>
        <a:p>
          <a:endParaRPr lang="en-US" sz="1100" baseline="0"/>
        </a:p>
        <a:p>
          <a:r>
            <a:rPr lang="en-US" sz="1100" baseline="0"/>
            <a:t>4. =INDEX(rep_directory[Commission Rate (%)], MATCH([@[Sales Representative Name]],rep_directory[Sales Representative Name],0))</a:t>
          </a:r>
        </a:p>
        <a:p>
          <a:endParaRPr lang="en-US" sz="1100" baseline="0"/>
        </a:p>
        <a:p>
          <a:r>
            <a:rPr lang="en-US" sz="1100" baseline="0"/>
            <a:t>5. =SUMIFS(sales_transactions[Sale Amount ($)],sales_transactions[Region],"North",sales_transactions[Sale Amount ($)],"&gt;=5000")</a:t>
          </a:r>
        </a:p>
        <a:p>
          <a:endParaRPr lang="en-US" sz="1100" baseline="0"/>
        </a:p>
        <a:p>
          <a:r>
            <a:rPr lang="en-US" sz="1100" baseline="0"/>
            <a:t>6. =IF(AND([@Region]="West", [@[Sale Amount ($)]]&gt;10000), "Bonus", "Standard")</a:t>
          </a:r>
        </a:p>
        <a:p>
          <a:endParaRPr lang="en-US" sz="1100" baseline="0"/>
        </a:p>
        <a:p>
          <a:r>
            <a:rPr lang="en-US" sz="1100" baseline="0"/>
            <a:t>Can't figure out the ROUND because the IF formula is only outputting text, not numbers?</a:t>
          </a:r>
        </a:p>
      </xdr:txBody>
    </xdr:sp>
    <xdr:clientData/>
  </xdr:twoCellAnchor>
  <xdr:twoCellAnchor editAs="oneCell">
    <xdr:from>
      <xdr:col>1</xdr:col>
      <xdr:colOff>0</xdr:colOff>
      <xdr:row>82</xdr:row>
      <xdr:rowOff>0</xdr:rowOff>
    </xdr:from>
    <xdr:to>
      <xdr:col>9</xdr:col>
      <xdr:colOff>428529</xdr:colOff>
      <xdr:row>94</xdr:row>
      <xdr:rowOff>167069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1CE03-0826-BC57-950E-C5ECEEA9B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14714" y="19340286"/>
          <a:ext cx="6959958" cy="299735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0E9497-A502-4D74-8095-65575936808F}" name="sales_transactions" displayName="sales_transactions" ref="L36:R61" totalsRowShown="0">
  <autoFilter ref="L36:R61" xr:uid="{E80E9497-A502-4D74-8095-65575936808F}"/>
  <tableColumns count="7">
    <tableColumn id="1" xr3:uid="{162B0119-4F85-4FC1-8627-521F6F5B3F9C}" name="Transaction ID"/>
    <tableColumn id="2" xr3:uid="{007B04F3-8F61-4350-A34D-0DFFE663B619}" name="Region"/>
    <tableColumn id="3" xr3:uid="{321DE0E0-93FC-4901-8C68-2E2C49F33FE1}" name="Sales Representative Name"/>
    <tableColumn id="4" xr3:uid="{7FFC137A-8B85-49CE-B2C4-E0552D216D1D}" name="Sale Amount ($)" dataDxfId="6"/>
    <tableColumn id="6" xr3:uid="{0859B4EC-BED9-4AC5-8906-835A3614DB52}" name="Commission Rate (%)" dataDxfId="5" dataCellStyle="Percent">
      <calculatedColumnFormula>_xlfn.XLOOKUP(sales_transactions[[#This Row],[Sales Representative Name]],rep_directory[Sales Representative Name],rep_directory[Commission Rate (%)])</calculatedColumnFormula>
    </tableColumn>
    <tableColumn id="7" xr3:uid="{F28093EA-A195-4F69-B3D8-114E4C94AB4F}" name="Column1" dataDxfId="4">
      <calculatedColumnFormula>INDEX(rep_directory[Commission Rate (%)], MATCH(sales_transactions[[#This Row],[Sales Representative Name]],rep_directory[Sales Representative Name],0))</calculatedColumnFormula>
    </tableColumn>
    <tableColumn id="8" xr3:uid="{0A25FD97-4789-4276-927E-6472C916AB8D}" name="Column2" dataDxfId="3">
      <calculatedColumnFormula>IF(AND(sales_transactions[[#This Row],[Region]]="West", sales_transactions[[#This Row],[Sale Amount ($)]]&gt;10000), "Bonus", "Standard")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B7AEC1-04A6-4692-858F-2C2CCD781403}" name="rep_directory" displayName="rep_directory" ref="L65:M71" totalsRowShown="0">
  <autoFilter ref="L65:M71" xr:uid="{4DB7AEC1-04A6-4692-858F-2C2CCD781403}"/>
  <tableColumns count="2">
    <tableColumn id="1" xr3:uid="{298C5EBA-24D3-46E8-BA86-928C04765A38}" name="Sales Representative Name"/>
    <tableColumn id="2" xr3:uid="{BD32B440-1B69-4E04-AE58-846973B8B659}" name="Commission Rate (%)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B33FF9-332D-4EC7-8100-CEF8E2D2952C}" name="orders" displayName="orders" ref="A1:D5001" totalsRowShown="0" headerRowDxfId="0">
  <autoFilter ref="A1:D5001" xr:uid="{ADB33FF9-332D-4EC7-8100-CEF8E2D2952C}"/>
  <tableColumns count="4">
    <tableColumn id="1" xr3:uid="{980C6E0E-6351-4B51-8461-3E55A936C432}" name="Order Date" dataDxfId="2"/>
    <tableColumn id="2" xr3:uid="{A6516746-E2E3-4190-A684-9CC137539594}" name="Category"/>
    <tableColumn id="3" xr3:uid="{154AA2D4-EFFC-40C5-BD7E-DA0E6F1C4B34}" name="Sub-Category"/>
    <tableColumn id="4" xr3:uid="{62710D92-3884-4D69-8B86-2F470AD82A02}" name="Profit ($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>
        <a:ln w="9525"/>
      </a:spPr>
      <a:bodyPr vertOverflow="clip" horzOverflow="clip" wrap="square" rtlCol="0" anchor="t"/>
      <a:lstStyle>
        <a:defPPr algn="l">
          <a:defRPr sz="1100"/>
        </a:defPPr>
      </a:lstStyle>
      <a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eslami@csun.edu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Terry@hotmail.com" TargetMode="External"/><Relationship Id="rId7" Type="http://schemas.openxmlformats.org/officeDocument/2006/relationships/hyperlink" Target="mailto:janicer325@gmail.com" TargetMode="External"/><Relationship Id="rId12" Type="http://schemas.openxmlformats.org/officeDocument/2006/relationships/hyperlink" Target="mailto:person@gmail.com" TargetMode="External"/><Relationship Id="rId2" Type="http://schemas.openxmlformats.org/officeDocument/2006/relationships/hyperlink" Target="mailto:Robert@gmail.com" TargetMode="External"/><Relationship Id="rId1" Type="http://schemas.openxmlformats.org/officeDocument/2006/relationships/hyperlink" Target="mailto:john@gmail.com" TargetMode="External"/><Relationship Id="rId6" Type="http://schemas.openxmlformats.org/officeDocument/2006/relationships/hyperlink" Target="mailto:scvonline@starcraft.com" TargetMode="External"/><Relationship Id="rId11" Type="http://schemas.openxmlformats.org/officeDocument/2006/relationships/hyperlink" Target="mailto:person@company.com" TargetMode="External"/><Relationship Id="rId5" Type="http://schemas.openxmlformats.org/officeDocument/2006/relationships/hyperlink" Target="mailto:jorholer@azu.co.jp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mailto:adamsmith@hotmail.com" TargetMode="External"/><Relationship Id="rId4" Type="http://schemas.openxmlformats.org/officeDocument/2006/relationships/hyperlink" Target="mailto:breiner@socal.rr.com" TargetMode="External"/><Relationship Id="rId9" Type="http://schemas.openxmlformats.org/officeDocument/2006/relationships/hyperlink" Target="mailto:needmorepylons@starcraft.com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1C99-4645-4919-8CCF-1DF97A4FA411}">
  <dimension ref="A1:R81"/>
  <sheetViews>
    <sheetView tabSelected="1" topLeftCell="A61" zoomScale="70" zoomScaleNormal="70" workbookViewId="0">
      <selection activeCell="O84" sqref="O84"/>
    </sheetView>
  </sheetViews>
  <sheetFormatPr defaultRowHeight="18.5" x14ac:dyDescent="0.45"/>
  <cols>
    <col min="1" max="1" width="18.140625" bestFit="1" customWidth="1"/>
    <col min="11" max="11" width="10.640625" bestFit="1" customWidth="1"/>
    <col min="12" max="12" width="17" customWidth="1"/>
    <col min="13" max="13" width="17.640625" customWidth="1"/>
    <col min="14" max="14" width="20.78515625" customWidth="1"/>
    <col min="15" max="15" width="15.78515625" customWidth="1"/>
    <col min="16" max="16" width="16.78515625" customWidth="1"/>
    <col min="17" max="17" width="24.92578125" customWidth="1"/>
    <col min="18" max="18" width="20" customWidth="1"/>
  </cols>
  <sheetData>
    <row r="1" spans="1:17" x14ac:dyDescent="0.45">
      <c r="A1" t="s">
        <v>0</v>
      </c>
    </row>
    <row r="2" spans="1:17" x14ac:dyDescent="0.45">
      <c r="A2" t="s">
        <v>8</v>
      </c>
    </row>
    <row r="3" spans="1:17" x14ac:dyDescent="0.45">
      <c r="A3" s="1">
        <v>46236</v>
      </c>
    </row>
    <row r="4" spans="1:17" x14ac:dyDescent="0.45">
      <c r="B4" t="s">
        <v>1</v>
      </c>
    </row>
    <row r="6" spans="1:17" x14ac:dyDescent="0.45">
      <c r="K6" s="2" t="s">
        <v>2</v>
      </c>
      <c r="L6" s="2" t="s">
        <v>3</v>
      </c>
      <c r="M6" s="2" t="s">
        <v>7</v>
      </c>
      <c r="O6" s="2" t="s">
        <v>9</v>
      </c>
      <c r="P6" s="2" t="s">
        <v>39</v>
      </c>
      <c r="Q6" s="2" t="s">
        <v>40</v>
      </c>
    </row>
    <row r="7" spans="1:17" x14ac:dyDescent="0.45">
      <c r="K7" t="s">
        <v>5</v>
      </c>
      <c r="L7" t="s">
        <v>6</v>
      </c>
      <c r="M7" t="str">
        <f>PROPER(_xlfn.CONCAT(TRIM(K7)&amp;" "&amp;L7))</f>
        <v>John Smith</v>
      </c>
      <c r="O7" s="3" t="s">
        <v>10</v>
      </c>
      <c r="P7" t="s">
        <v>4</v>
      </c>
      <c r="Q7" t="s">
        <v>22</v>
      </c>
    </row>
    <row r="8" spans="1:17" x14ac:dyDescent="0.45">
      <c r="O8" s="3" t="s">
        <v>11</v>
      </c>
      <c r="P8" t="s">
        <v>23</v>
      </c>
      <c r="Q8" t="s">
        <v>22</v>
      </c>
    </row>
    <row r="9" spans="1:17" x14ac:dyDescent="0.45">
      <c r="O9" s="3" t="s">
        <v>12</v>
      </c>
      <c r="P9" t="s">
        <v>24</v>
      </c>
      <c r="Q9" t="s">
        <v>25</v>
      </c>
    </row>
    <row r="10" spans="1:17" x14ac:dyDescent="0.45">
      <c r="O10" s="3" t="s">
        <v>13</v>
      </c>
      <c r="P10" t="s">
        <v>26</v>
      </c>
      <c r="Q10" t="s">
        <v>27</v>
      </c>
    </row>
    <row r="11" spans="1:17" x14ac:dyDescent="0.45">
      <c r="O11" s="3" t="s">
        <v>14</v>
      </c>
      <c r="P11" t="s">
        <v>28</v>
      </c>
      <c r="Q11" t="s">
        <v>29</v>
      </c>
    </row>
    <row r="12" spans="1:17" x14ac:dyDescent="0.45">
      <c r="O12" s="3" t="s">
        <v>15</v>
      </c>
      <c r="P12" t="s">
        <v>30</v>
      </c>
      <c r="Q12" t="s">
        <v>31</v>
      </c>
    </row>
    <row r="13" spans="1:17" x14ac:dyDescent="0.45">
      <c r="O13" s="3" t="s">
        <v>16</v>
      </c>
      <c r="P13" t="s">
        <v>32</v>
      </c>
      <c r="Q13" t="s">
        <v>22</v>
      </c>
    </row>
    <row r="14" spans="1:17" x14ac:dyDescent="0.45">
      <c r="O14" s="3" t="s">
        <v>17</v>
      </c>
      <c r="P14" t="s">
        <v>33</v>
      </c>
      <c r="Q14" t="s">
        <v>34</v>
      </c>
    </row>
    <row r="15" spans="1:17" x14ac:dyDescent="0.45">
      <c r="O15" s="3" t="s">
        <v>18</v>
      </c>
      <c r="P15" t="s">
        <v>35</v>
      </c>
      <c r="Q15" t="s">
        <v>31</v>
      </c>
    </row>
    <row r="16" spans="1:17" x14ac:dyDescent="0.45">
      <c r="O16" s="3" t="s">
        <v>19</v>
      </c>
      <c r="P16" t="s">
        <v>36</v>
      </c>
      <c r="Q16" t="s">
        <v>25</v>
      </c>
    </row>
    <row r="17" spans="15:17" x14ac:dyDescent="0.45">
      <c r="O17" s="3" t="s">
        <v>20</v>
      </c>
      <c r="P17" t="s">
        <v>37</v>
      </c>
      <c r="Q17" t="s">
        <v>38</v>
      </c>
    </row>
    <row r="18" spans="15:17" x14ac:dyDescent="0.45">
      <c r="O18" s="3" t="s">
        <v>21</v>
      </c>
      <c r="P18" t="s">
        <v>37</v>
      </c>
      <c r="Q18" t="s">
        <v>22</v>
      </c>
    </row>
    <row r="34" spans="2:18" x14ac:dyDescent="0.45">
      <c r="B34" t="s">
        <v>41</v>
      </c>
    </row>
    <row r="35" spans="2:18" x14ac:dyDescent="0.45">
      <c r="L35" t="s">
        <v>50</v>
      </c>
    </row>
    <row r="36" spans="2:18" x14ac:dyDescent="0.45">
      <c r="L36" t="s">
        <v>42</v>
      </c>
      <c r="M36" t="s">
        <v>43</v>
      </c>
      <c r="N36" t="s">
        <v>44</v>
      </c>
      <c r="O36" t="s">
        <v>45</v>
      </c>
      <c r="P36" t="s">
        <v>52</v>
      </c>
      <c r="Q36" t="s">
        <v>53</v>
      </c>
      <c r="R36" t="s">
        <v>87</v>
      </c>
    </row>
    <row r="37" spans="2:18" x14ac:dyDescent="0.45">
      <c r="L37" t="s">
        <v>54</v>
      </c>
      <c r="M37" t="s">
        <v>46</v>
      </c>
      <c r="N37" t="s">
        <v>55</v>
      </c>
      <c r="O37" s="4">
        <v>1250</v>
      </c>
      <c r="P37" s="6">
        <f>_xlfn.XLOOKUP(sales_transactions[[#This Row],[Sales Representative Name]],rep_directory[Sales Representative Name],rep_directory[Commission Rate (%)])</f>
        <v>0.05</v>
      </c>
      <c r="Q37">
        <f>INDEX(rep_directory[Commission Rate (%)], MATCH(sales_transactions[[#This Row],[Sales Representative Name]],rep_directory[Sales Representative Name],0))</f>
        <v>0.05</v>
      </c>
      <c r="R37" t="str">
        <f>IF(AND(sales_transactions[[#This Row],[Region]]="West", sales_transactions[[#This Row],[Sale Amount ($)]]&gt;10000), "Bonus", "Standard")</f>
        <v>Standard</v>
      </c>
    </row>
    <row r="38" spans="2:18" x14ac:dyDescent="0.45">
      <c r="L38" t="s">
        <v>56</v>
      </c>
      <c r="M38" t="s">
        <v>47</v>
      </c>
      <c r="N38" t="s">
        <v>57</v>
      </c>
      <c r="O38" s="4">
        <v>3400</v>
      </c>
      <c r="P38" s="6">
        <f>_xlfn.XLOOKUP(sales_transactions[[#This Row],[Sales Representative Name]],rep_directory[Sales Representative Name],rep_directory[Commission Rate (%)])</f>
        <v>0.06</v>
      </c>
      <c r="Q38">
        <f>INDEX(rep_directory[Commission Rate (%)], MATCH(sales_transactions[[#This Row],[Sales Representative Name]],rep_directory[Sales Representative Name],0))</f>
        <v>0.06</v>
      </c>
      <c r="R38" t="str">
        <f>IF(AND(sales_transactions[[#This Row],[Region]]="West", sales_transactions[[#This Row],[Sale Amount ($)]]&gt;10000), "Bonus", "Standard")</f>
        <v>Standard</v>
      </c>
    </row>
    <row r="39" spans="2:18" x14ac:dyDescent="0.45">
      <c r="L39" t="s">
        <v>58</v>
      </c>
      <c r="M39" t="s">
        <v>48</v>
      </c>
      <c r="N39" t="s">
        <v>59</v>
      </c>
      <c r="O39" s="4">
        <v>850</v>
      </c>
      <c r="P39" s="6">
        <f>_xlfn.XLOOKUP(sales_transactions[[#This Row],[Sales Representative Name]],rep_directory[Sales Representative Name],rep_directory[Commission Rate (%)])</f>
        <v>4.4999999999999998E-2</v>
      </c>
      <c r="Q39">
        <f>INDEX(rep_directory[Commission Rate (%)], MATCH(sales_transactions[[#This Row],[Sales Representative Name]],rep_directory[Sales Representative Name],0))</f>
        <v>4.4999999999999998E-2</v>
      </c>
      <c r="R39" t="str">
        <f>IF(AND(sales_transactions[[#This Row],[Region]]="West", sales_transactions[[#This Row],[Sale Amount ($)]]&gt;10000), "Bonus", "Standard")</f>
        <v>Standard</v>
      </c>
    </row>
    <row r="40" spans="2:18" x14ac:dyDescent="0.45">
      <c r="L40" t="s">
        <v>60</v>
      </c>
      <c r="M40" t="s">
        <v>49</v>
      </c>
      <c r="N40" t="s">
        <v>61</v>
      </c>
      <c r="O40" s="4">
        <v>4120</v>
      </c>
      <c r="P40" s="6">
        <f>_xlfn.XLOOKUP(sales_transactions[[#This Row],[Sales Representative Name]],rep_directory[Sales Representative Name],rep_directory[Commission Rate (%)])</f>
        <v>5.5E-2</v>
      </c>
      <c r="Q40">
        <f>INDEX(rep_directory[Commission Rate (%)], MATCH(sales_transactions[[#This Row],[Sales Representative Name]],rep_directory[Sales Representative Name],0))</f>
        <v>5.5E-2</v>
      </c>
      <c r="R40" t="str">
        <f>IF(AND(sales_transactions[[#This Row],[Region]]="West", sales_transactions[[#This Row],[Sale Amount ($)]]&gt;10000), "Bonus", "Standard")</f>
        <v>Standard</v>
      </c>
    </row>
    <row r="41" spans="2:18" x14ac:dyDescent="0.45">
      <c r="L41" t="s">
        <v>62</v>
      </c>
      <c r="M41" t="s">
        <v>46</v>
      </c>
      <c r="N41" t="s">
        <v>63</v>
      </c>
      <c r="O41" s="4">
        <v>2750</v>
      </c>
      <c r="P41" s="6">
        <f>_xlfn.XLOOKUP(sales_transactions[[#This Row],[Sales Representative Name]],rep_directory[Sales Representative Name],rep_directory[Commission Rate (%)])</f>
        <v>7.0000000000000007E-2</v>
      </c>
      <c r="Q41">
        <f>INDEX(rep_directory[Commission Rate (%)], MATCH(sales_transactions[[#This Row],[Sales Representative Name]],rep_directory[Sales Representative Name],0))</f>
        <v>7.0000000000000007E-2</v>
      </c>
      <c r="R41" t="str">
        <f>IF(AND(sales_transactions[[#This Row],[Region]]="West", sales_transactions[[#This Row],[Sale Amount ($)]]&gt;10000), "Bonus", "Standard")</f>
        <v>Standard</v>
      </c>
    </row>
    <row r="42" spans="2:18" x14ac:dyDescent="0.45">
      <c r="L42" t="s">
        <v>64</v>
      </c>
      <c r="M42" t="s">
        <v>47</v>
      </c>
      <c r="N42" t="s">
        <v>65</v>
      </c>
      <c r="O42" s="4">
        <v>1900</v>
      </c>
      <c r="P42" s="6">
        <f>_xlfn.XLOOKUP(sales_transactions[[#This Row],[Sales Representative Name]],rep_directory[Sales Representative Name],rep_directory[Commission Rate (%)])</f>
        <v>0.05</v>
      </c>
      <c r="Q42">
        <f>INDEX(rep_directory[Commission Rate (%)], MATCH(sales_transactions[[#This Row],[Sales Representative Name]],rep_directory[Sales Representative Name],0))</f>
        <v>0.05</v>
      </c>
      <c r="R42" t="str">
        <f>IF(AND(sales_transactions[[#This Row],[Region]]="West", sales_transactions[[#This Row],[Sale Amount ($)]]&gt;10000), "Bonus", "Standard")</f>
        <v>Standard</v>
      </c>
    </row>
    <row r="43" spans="2:18" x14ac:dyDescent="0.45">
      <c r="L43" t="s">
        <v>66</v>
      </c>
      <c r="M43" t="s">
        <v>48</v>
      </c>
      <c r="N43" t="s">
        <v>55</v>
      </c>
      <c r="O43" s="4">
        <v>5300</v>
      </c>
      <c r="P43" s="6">
        <f>_xlfn.XLOOKUP(sales_transactions[[#This Row],[Sales Representative Name]],rep_directory[Sales Representative Name],rep_directory[Commission Rate (%)])</f>
        <v>0.05</v>
      </c>
      <c r="Q43">
        <f>INDEX(rep_directory[Commission Rate (%)], MATCH(sales_transactions[[#This Row],[Sales Representative Name]],rep_directory[Sales Representative Name],0))</f>
        <v>0.05</v>
      </c>
      <c r="R43" t="str">
        <f>IF(AND(sales_transactions[[#This Row],[Region]]="West", sales_transactions[[#This Row],[Sale Amount ($)]]&gt;10000), "Bonus", "Standard")</f>
        <v>Standard</v>
      </c>
    </row>
    <row r="44" spans="2:18" x14ac:dyDescent="0.45">
      <c r="L44" t="s">
        <v>67</v>
      </c>
      <c r="M44" t="s">
        <v>49</v>
      </c>
      <c r="N44" t="s">
        <v>57</v>
      </c>
      <c r="O44" s="4">
        <v>980</v>
      </c>
      <c r="P44" s="6">
        <f>_xlfn.XLOOKUP(sales_transactions[[#This Row],[Sales Representative Name]],rep_directory[Sales Representative Name],rep_directory[Commission Rate (%)])</f>
        <v>0.06</v>
      </c>
      <c r="Q44">
        <f>INDEX(rep_directory[Commission Rate (%)], MATCH(sales_transactions[[#This Row],[Sales Representative Name]],rep_directory[Sales Representative Name],0))</f>
        <v>0.06</v>
      </c>
      <c r="R44" t="str">
        <f>IF(AND(sales_transactions[[#This Row],[Region]]="West", sales_transactions[[#This Row],[Sale Amount ($)]]&gt;10000), "Bonus", "Standard")</f>
        <v>Standard</v>
      </c>
    </row>
    <row r="45" spans="2:18" x14ac:dyDescent="0.45">
      <c r="L45" t="s">
        <v>68</v>
      </c>
      <c r="M45" t="s">
        <v>46</v>
      </c>
      <c r="N45" t="s">
        <v>59</v>
      </c>
      <c r="O45" s="4">
        <v>3150</v>
      </c>
      <c r="P45" s="6">
        <f>_xlfn.XLOOKUP(sales_transactions[[#This Row],[Sales Representative Name]],rep_directory[Sales Representative Name],rep_directory[Commission Rate (%)])</f>
        <v>4.4999999999999998E-2</v>
      </c>
      <c r="Q45">
        <f>INDEX(rep_directory[Commission Rate (%)], MATCH(sales_transactions[[#This Row],[Sales Representative Name]],rep_directory[Sales Representative Name],0))</f>
        <v>4.4999999999999998E-2</v>
      </c>
      <c r="R45" t="str">
        <f>IF(AND(sales_transactions[[#This Row],[Region]]="West", sales_transactions[[#This Row],[Sale Amount ($)]]&gt;10000), "Bonus", "Standard")</f>
        <v>Standard</v>
      </c>
    </row>
    <row r="46" spans="2:18" x14ac:dyDescent="0.45">
      <c r="L46" t="s">
        <v>69</v>
      </c>
      <c r="M46" t="s">
        <v>47</v>
      </c>
      <c r="N46" t="s">
        <v>61</v>
      </c>
      <c r="O46" s="4">
        <v>2200</v>
      </c>
      <c r="P46" s="6">
        <f>_xlfn.XLOOKUP(sales_transactions[[#This Row],[Sales Representative Name]],rep_directory[Sales Representative Name],rep_directory[Commission Rate (%)])</f>
        <v>5.5E-2</v>
      </c>
      <c r="Q46">
        <f>INDEX(rep_directory[Commission Rate (%)], MATCH(sales_transactions[[#This Row],[Sales Representative Name]],rep_directory[Sales Representative Name],0))</f>
        <v>5.5E-2</v>
      </c>
      <c r="R46" t="str">
        <f>IF(AND(sales_transactions[[#This Row],[Region]]="West", sales_transactions[[#This Row],[Sale Amount ($)]]&gt;10000), "Bonus", "Standard")</f>
        <v>Standard</v>
      </c>
    </row>
    <row r="47" spans="2:18" x14ac:dyDescent="0.45">
      <c r="L47" t="s">
        <v>70</v>
      </c>
      <c r="M47" t="s">
        <v>48</v>
      </c>
      <c r="N47" t="s">
        <v>63</v>
      </c>
      <c r="O47" s="4">
        <v>6450</v>
      </c>
      <c r="P47" s="6">
        <f>_xlfn.XLOOKUP(sales_transactions[[#This Row],[Sales Representative Name]],rep_directory[Sales Representative Name],rep_directory[Commission Rate (%)])</f>
        <v>7.0000000000000007E-2</v>
      </c>
      <c r="Q47">
        <f>INDEX(rep_directory[Commission Rate (%)], MATCH(sales_transactions[[#This Row],[Sales Representative Name]],rep_directory[Sales Representative Name],0))</f>
        <v>7.0000000000000007E-2</v>
      </c>
      <c r="R47" t="str">
        <f>IF(AND(sales_transactions[[#This Row],[Region]]="West", sales_transactions[[#This Row],[Sale Amount ($)]]&gt;10000), "Bonus", "Standard")</f>
        <v>Standard</v>
      </c>
    </row>
    <row r="48" spans="2:18" x14ac:dyDescent="0.45">
      <c r="L48" t="s">
        <v>71</v>
      </c>
      <c r="M48" t="s">
        <v>49</v>
      </c>
      <c r="N48" t="s">
        <v>65</v>
      </c>
      <c r="O48" s="4">
        <v>1100</v>
      </c>
      <c r="P48" s="6">
        <f>_xlfn.XLOOKUP(sales_transactions[[#This Row],[Sales Representative Name]],rep_directory[Sales Representative Name],rep_directory[Commission Rate (%)])</f>
        <v>0.05</v>
      </c>
      <c r="Q48">
        <f>INDEX(rep_directory[Commission Rate (%)], MATCH(sales_transactions[[#This Row],[Sales Representative Name]],rep_directory[Sales Representative Name],0))</f>
        <v>0.05</v>
      </c>
      <c r="R48" t="str">
        <f>IF(AND(sales_transactions[[#This Row],[Region]]="West", sales_transactions[[#This Row],[Sale Amount ($)]]&gt;10000), "Bonus", "Standard")</f>
        <v>Standard</v>
      </c>
    </row>
    <row r="49" spans="12:18" x14ac:dyDescent="0.45">
      <c r="L49" t="s">
        <v>72</v>
      </c>
      <c r="M49" t="s">
        <v>46</v>
      </c>
      <c r="N49" t="s">
        <v>55</v>
      </c>
      <c r="O49" s="4">
        <v>4800</v>
      </c>
      <c r="P49" s="6">
        <f>_xlfn.XLOOKUP(sales_transactions[[#This Row],[Sales Representative Name]],rep_directory[Sales Representative Name],rep_directory[Commission Rate (%)])</f>
        <v>0.05</v>
      </c>
      <c r="Q49">
        <f>INDEX(rep_directory[Commission Rate (%)], MATCH(sales_transactions[[#This Row],[Sales Representative Name]],rep_directory[Sales Representative Name],0))</f>
        <v>0.05</v>
      </c>
      <c r="R49" t="str">
        <f>IF(AND(sales_transactions[[#This Row],[Region]]="West", sales_transactions[[#This Row],[Sale Amount ($)]]&gt;10000), "Bonus", "Standard")</f>
        <v>Standard</v>
      </c>
    </row>
    <row r="50" spans="12:18" x14ac:dyDescent="0.45">
      <c r="L50" t="s">
        <v>73</v>
      </c>
      <c r="M50" t="s">
        <v>47</v>
      </c>
      <c r="N50" t="s">
        <v>57</v>
      </c>
      <c r="O50" s="4">
        <v>2950</v>
      </c>
      <c r="P50" s="6">
        <f>_xlfn.XLOOKUP(sales_transactions[[#This Row],[Sales Representative Name]],rep_directory[Sales Representative Name],rep_directory[Commission Rate (%)])</f>
        <v>0.06</v>
      </c>
      <c r="Q50">
        <f>INDEX(rep_directory[Commission Rate (%)], MATCH(sales_transactions[[#This Row],[Sales Representative Name]],rep_directory[Sales Representative Name],0))</f>
        <v>0.06</v>
      </c>
      <c r="R50" t="str">
        <f>IF(AND(sales_transactions[[#This Row],[Region]]="West", sales_transactions[[#This Row],[Sale Amount ($)]]&gt;10000), "Bonus", "Standard")</f>
        <v>Standard</v>
      </c>
    </row>
    <row r="51" spans="12:18" x14ac:dyDescent="0.45">
      <c r="L51" t="s">
        <v>74</v>
      </c>
      <c r="M51" t="s">
        <v>48</v>
      </c>
      <c r="N51" t="s">
        <v>59</v>
      </c>
      <c r="O51" s="4">
        <v>1600</v>
      </c>
      <c r="P51" s="6">
        <f>_xlfn.XLOOKUP(sales_transactions[[#This Row],[Sales Representative Name]],rep_directory[Sales Representative Name],rep_directory[Commission Rate (%)])</f>
        <v>4.4999999999999998E-2</v>
      </c>
      <c r="Q51">
        <f>INDEX(rep_directory[Commission Rate (%)], MATCH(sales_transactions[[#This Row],[Sales Representative Name]],rep_directory[Sales Representative Name],0))</f>
        <v>4.4999999999999998E-2</v>
      </c>
      <c r="R51" t="str">
        <f>IF(AND(sales_transactions[[#This Row],[Region]]="West", sales_transactions[[#This Row],[Sale Amount ($)]]&gt;10000), "Bonus", "Standard")</f>
        <v>Standard</v>
      </c>
    </row>
    <row r="52" spans="12:18" x14ac:dyDescent="0.45">
      <c r="L52" t="s">
        <v>75</v>
      </c>
      <c r="M52" t="s">
        <v>49</v>
      </c>
      <c r="N52" t="s">
        <v>61</v>
      </c>
      <c r="O52" s="4">
        <v>5100</v>
      </c>
      <c r="P52" s="6">
        <f>_xlfn.XLOOKUP(sales_transactions[[#This Row],[Sales Representative Name]],rep_directory[Sales Representative Name],rep_directory[Commission Rate (%)])</f>
        <v>5.5E-2</v>
      </c>
      <c r="Q52">
        <f>INDEX(rep_directory[Commission Rate (%)], MATCH(sales_transactions[[#This Row],[Sales Representative Name]],rep_directory[Sales Representative Name],0))</f>
        <v>5.5E-2</v>
      </c>
      <c r="R52" t="str">
        <f>IF(AND(sales_transactions[[#This Row],[Region]]="West", sales_transactions[[#This Row],[Sale Amount ($)]]&gt;10000), "Bonus", "Standard")</f>
        <v>Standard</v>
      </c>
    </row>
    <row r="53" spans="12:18" x14ac:dyDescent="0.45">
      <c r="L53" t="s">
        <v>76</v>
      </c>
      <c r="M53" t="s">
        <v>46</v>
      </c>
      <c r="N53" t="s">
        <v>63</v>
      </c>
      <c r="O53" s="4">
        <v>3800</v>
      </c>
      <c r="P53" s="6">
        <f>_xlfn.XLOOKUP(sales_transactions[[#This Row],[Sales Representative Name]],rep_directory[Sales Representative Name],rep_directory[Commission Rate (%)])</f>
        <v>7.0000000000000007E-2</v>
      </c>
      <c r="Q53">
        <f>INDEX(rep_directory[Commission Rate (%)], MATCH(sales_transactions[[#This Row],[Sales Representative Name]],rep_directory[Sales Representative Name],0))</f>
        <v>7.0000000000000007E-2</v>
      </c>
      <c r="R53" t="str">
        <f>IF(AND(sales_transactions[[#This Row],[Region]]="West", sales_transactions[[#This Row],[Sale Amount ($)]]&gt;10000), "Bonus", "Standard")</f>
        <v>Standard</v>
      </c>
    </row>
    <row r="54" spans="12:18" x14ac:dyDescent="0.45">
      <c r="L54" t="s">
        <v>77</v>
      </c>
      <c r="M54" t="s">
        <v>47</v>
      </c>
      <c r="N54" t="s">
        <v>65</v>
      </c>
      <c r="O54" s="4">
        <v>2400</v>
      </c>
      <c r="P54" s="6">
        <f>_xlfn.XLOOKUP(sales_transactions[[#This Row],[Sales Representative Name]],rep_directory[Sales Representative Name],rep_directory[Commission Rate (%)])</f>
        <v>0.05</v>
      </c>
      <c r="Q54">
        <f>INDEX(rep_directory[Commission Rate (%)], MATCH(sales_transactions[[#This Row],[Sales Representative Name]],rep_directory[Sales Representative Name],0))</f>
        <v>0.05</v>
      </c>
      <c r="R54" t="str">
        <f>IF(AND(sales_transactions[[#This Row],[Region]]="West", sales_transactions[[#This Row],[Sale Amount ($)]]&gt;10000), "Bonus", "Standard")</f>
        <v>Standard</v>
      </c>
    </row>
    <row r="55" spans="12:18" x14ac:dyDescent="0.45">
      <c r="L55" t="s">
        <v>78</v>
      </c>
      <c r="M55" t="s">
        <v>48</v>
      </c>
      <c r="N55" t="s">
        <v>55</v>
      </c>
      <c r="O55" s="4">
        <v>7200</v>
      </c>
      <c r="P55" s="6">
        <f>_xlfn.XLOOKUP(sales_transactions[[#This Row],[Sales Representative Name]],rep_directory[Sales Representative Name],rep_directory[Commission Rate (%)])</f>
        <v>0.05</v>
      </c>
      <c r="Q55">
        <f>INDEX(rep_directory[Commission Rate (%)], MATCH(sales_transactions[[#This Row],[Sales Representative Name]],rep_directory[Sales Representative Name],0))</f>
        <v>0.05</v>
      </c>
      <c r="R55" t="str">
        <f>IF(AND(sales_transactions[[#This Row],[Region]]="West", sales_transactions[[#This Row],[Sale Amount ($)]]&gt;10000), "Bonus", "Standard")</f>
        <v>Standard</v>
      </c>
    </row>
    <row r="56" spans="12:18" x14ac:dyDescent="0.45">
      <c r="L56" t="s">
        <v>79</v>
      </c>
      <c r="M56" t="s">
        <v>49</v>
      </c>
      <c r="N56" t="s">
        <v>57</v>
      </c>
      <c r="O56" s="4">
        <v>1450</v>
      </c>
      <c r="P56" s="6">
        <f>_xlfn.XLOOKUP(sales_transactions[[#This Row],[Sales Representative Name]],rep_directory[Sales Representative Name],rep_directory[Commission Rate (%)])</f>
        <v>0.06</v>
      </c>
      <c r="Q56">
        <f>INDEX(rep_directory[Commission Rate (%)], MATCH(sales_transactions[[#This Row],[Sales Representative Name]],rep_directory[Sales Representative Name],0))</f>
        <v>0.06</v>
      </c>
      <c r="R56" t="str">
        <f>IF(AND(sales_transactions[[#This Row],[Region]]="West", sales_transactions[[#This Row],[Sale Amount ($)]]&gt;10000), "Bonus", "Standard")</f>
        <v>Standard</v>
      </c>
    </row>
    <row r="57" spans="12:18" x14ac:dyDescent="0.45">
      <c r="L57" t="s">
        <v>80</v>
      </c>
      <c r="M57" t="s">
        <v>46</v>
      </c>
      <c r="N57" t="s">
        <v>59</v>
      </c>
      <c r="O57" s="4">
        <v>3900</v>
      </c>
      <c r="P57" s="6">
        <f>_xlfn.XLOOKUP(sales_transactions[[#This Row],[Sales Representative Name]],rep_directory[Sales Representative Name],rep_directory[Commission Rate (%)])</f>
        <v>4.4999999999999998E-2</v>
      </c>
      <c r="Q57">
        <f>INDEX(rep_directory[Commission Rate (%)], MATCH(sales_transactions[[#This Row],[Sales Representative Name]],rep_directory[Sales Representative Name],0))</f>
        <v>4.4999999999999998E-2</v>
      </c>
      <c r="R57" t="str">
        <f>IF(AND(sales_transactions[[#This Row],[Region]]="West", sales_transactions[[#This Row],[Sale Amount ($)]]&gt;10000), "Bonus", "Standard")</f>
        <v>Standard</v>
      </c>
    </row>
    <row r="58" spans="12:18" x14ac:dyDescent="0.45">
      <c r="L58" t="s">
        <v>81</v>
      </c>
      <c r="M58" t="s">
        <v>47</v>
      </c>
      <c r="N58" t="s">
        <v>61</v>
      </c>
      <c r="O58" s="4">
        <v>4600</v>
      </c>
      <c r="P58" s="6">
        <f>_xlfn.XLOOKUP(sales_transactions[[#This Row],[Sales Representative Name]],rep_directory[Sales Representative Name],rep_directory[Commission Rate (%)])</f>
        <v>5.5E-2</v>
      </c>
      <c r="Q58">
        <f>INDEX(rep_directory[Commission Rate (%)], MATCH(sales_transactions[[#This Row],[Sales Representative Name]],rep_directory[Sales Representative Name],0))</f>
        <v>5.5E-2</v>
      </c>
      <c r="R58" t="str">
        <f>IF(AND(sales_transactions[[#This Row],[Region]]="West", sales_transactions[[#This Row],[Sale Amount ($)]]&gt;10000), "Bonus", "Standard")</f>
        <v>Standard</v>
      </c>
    </row>
    <row r="59" spans="12:18" x14ac:dyDescent="0.45">
      <c r="L59" t="s">
        <v>82</v>
      </c>
      <c r="M59" t="s">
        <v>48</v>
      </c>
      <c r="N59" t="s">
        <v>63</v>
      </c>
      <c r="O59" s="4">
        <v>2100</v>
      </c>
      <c r="P59" s="6">
        <f>_xlfn.XLOOKUP(sales_transactions[[#This Row],[Sales Representative Name]],rep_directory[Sales Representative Name],rep_directory[Commission Rate (%)])</f>
        <v>7.0000000000000007E-2</v>
      </c>
      <c r="Q59">
        <f>INDEX(rep_directory[Commission Rate (%)], MATCH(sales_transactions[[#This Row],[Sales Representative Name]],rep_directory[Sales Representative Name],0))</f>
        <v>7.0000000000000007E-2</v>
      </c>
      <c r="R59" t="str">
        <f>IF(AND(sales_transactions[[#This Row],[Region]]="West", sales_transactions[[#This Row],[Sale Amount ($)]]&gt;10000), "Bonus", "Standard")</f>
        <v>Standard</v>
      </c>
    </row>
    <row r="60" spans="12:18" x14ac:dyDescent="0.45">
      <c r="L60" t="s">
        <v>83</v>
      </c>
      <c r="M60" t="s">
        <v>49</v>
      </c>
      <c r="N60" t="s">
        <v>65</v>
      </c>
      <c r="O60" s="4">
        <v>3350</v>
      </c>
      <c r="P60" s="6">
        <f>_xlfn.XLOOKUP(sales_transactions[[#This Row],[Sales Representative Name]],rep_directory[Sales Representative Name],rep_directory[Commission Rate (%)])</f>
        <v>0.05</v>
      </c>
      <c r="Q60">
        <f>INDEX(rep_directory[Commission Rate (%)], MATCH(sales_transactions[[#This Row],[Sales Representative Name]],rep_directory[Sales Representative Name],0))</f>
        <v>0.05</v>
      </c>
      <c r="R60" t="str">
        <f>IF(AND(sales_transactions[[#This Row],[Region]]="West", sales_transactions[[#This Row],[Sale Amount ($)]]&gt;10000), "Bonus", "Standard")</f>
        <v>Standard</v>
      </c>
    </row>
    <row r="61" spans="12:18" x14ac:dyDescent="0.45">
      <c r="L61" t="s">
        <v>84</v>
      </c>
      <c r="M61" t="s">
        <v>46</v>
      </c>
      <c r="N61" t="s">
        <v>55</v>
      </c>
      <c r="O61" s="4">
        <v>5900</v>
      </c>
      <c r="P61" s="6">
        <f>_xlfn.XLOOKUP(sales_transactions[[#This Row],[Sales Representative Name]],rep_directory[Sales Representative Name],rep_directory[Commission Rate (%)])</f>
        <v>0.05</v>
      </c>
      <c r="Q61">
        <f>INDEX(rep_directory[Commission Rate (%)], MATCH(sales_transactions[[#This Row],[Sales Representative Name]],rep_directory[Sales Representative Name],0))</f>
        <v>0.05</v>
      </c>
      <c r="R61" t="str">
        <f>IF(AND(sales_transactions[[#This Row],[Region]]="West", sales_transactions[[#This Row],[Sale Amount ($)]]&gt;10000), "Bonus", "Standard")</f>
        <v>Standard</v>
      </c>
    </row>
    <row r="64" spans="12:18" x14ac:dyDescent="0.45">
      <c r="L64" t="s">
        <v>51</v>
      </c>
    </row>
    <row r="65" spans="2:16" x14ac:dyDescent="0.45">
      <c r="L65" t="s">
        <v>44</v>
      </c>
      <c r="M65" t="s">
        <v>52</v>
      </c>
      <c r="O65" t="s">
        <v>86</v>
      </c>
      <c r="P65">
        <f>SUMIFS(sales_transactions[Sale Amount ($)],sales_transactions[Region],"North",sales_transactions[Sale Amount ($)],"&gt;=5000")</f>
        <v>5900</v>
      </c>
    </row>
    <row r="66" spans="2:16" x14ac:dyDescent="0.45">
      <c r="L66" t="s">
        <v>55</v>
      </c>
      <c r="M66" s="5">
        <v>0.05</v>
      </c>
      <c r="O66" t="s">
        <v>85</v>
      </c>
    </row>
    <row r="67" spans="2:16" x14ac:dyDescent="0.45">
      <c r="L67" t="s">
        <v>57</v>
      </c>
      <c r="M67" s="5">
        <v>0.06</v>
      </c>
    </row>
    <row r="68" spans="2:16" x14ac:dyDescent="0.45">
      <c r="B68" s="2"/>
      <c r="L68" t="s">
        <v>59</v>
      </c>
      <c r="M68" s="5">
        <v>4.4999999999999998E-2</v>
      </c>
    </row>
    <row r="69" spans="2:16" x14ac:dyDescent="0.45">
      <c r="L69" t="s">
        <v>61</v>
      </c>
      <c r="M69" s="5">
        <v>5.5E-2</v>
      </c>
    </row>
    <row r="70" spans="2:16" x14ac:dyDescent="0.45">
      <c r="L70" t="s">
        <v>63</v>
      </c>
      <c r="M70" s="5">
        <v>7.0000000000000007E-2</v>
      </c>
    </row>
    <row r="71" spans="2:16" x14ac:dyDescent="0.45">
      <c r="L71" t="s">
        <v>65</v>
      </c>
      <c r="M71" s="5">
        <v>0.05</v>
      </c>
    </row>
    <row r="81" spans="2:2" x14ac:dyDescent="0.45">
      <c r="B81" t="s">
        <v>88</v>
      </c>
    </row>
  </sheetData>
  <phoneticPr fontId="4" type="noConversion"/>
  <hyperlinks>
    <hyperlink ref="O7" r:id="rId1" xr:uid="{1D46F202-FE0E-4F61-8CAC-10E3C36BBFEB}"/>
    <hyperlink ref="O8" r:id="rId2" xr:uid="{AEBA7B53-DEEB-4078-B91A-1BF07482925F}"/>
    <hyperlink ref="O9" r:id="rId3" xr:uid="{24D23FDB-CC9B-47A0-A0ED-A59FB83E0AFF}"/>
    <hyperlink ref="O10" r:id="rId4" xr:uid="{5B75A081-3EB0-4C1A-8335-2A3430F34260}"/>
    <hyperlink ref="O11" r:id="rId5" xr:uid="{DF41B4CA-971A-4B00-BBEB-2113B74015B7}"/>
    <hyperlink ref="O12" r:id="rId6" xr:uid="{EE4867A8-8189-4B41-8379-FD9027947391}"/>
    <hyperlink ref="O13" r:id="rId7" xr:uid="{CC040EC8-B0B2-4871-8F4C-7FD9BAE16B68}"/>
    <hyperlink ref="O14" r:id="rId8" xr:uid="{6B3A213B-4218-4323-B5C8-9C4155EC1A4C}"/>
    <hyperlink ref="O15" r:id="rId9" xr:uid="{BC4D9233-8ABE-485B-B5CD-6BC522C8FB48}"/>
    <hyperlink ref="O16" r:id="rId10" xr:uid="{FF027D41-73F2-4F96-8166-753D190B5A39}"/>
    <hyperlink ref="O17" r:id="rId11" xr:uid="{340B1F8B-46E0-4192-A2EB-039B0D9AC056}"/>
    <hyperlink ref="O18" r:id="rId12" xr:uid="{FB0BC16B-5CDB-494E-9BE1-CC715DBD3FB1}"/>
  </hyperlinks>
  <pageMargins left="0.7" right="0.7" top="0.75" bottom="0.75" header="0.3" footer="0.3"/>
  <drawing r:id="rId13"/>
  <tableParts count="2">
    <tablePart r:id="rId14"/>
    <tablePart r:id="rId1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396A-AA53-4851-9FD7-6B35F7BF9003}">
  <dimension ref="A1:D5001"/>
  <sheetViews>
    <sheetView workbookViewId="0">
      <selection activeCell="B16" sqref="B16"/>
    </sheetView>
  </sheetViews>
  <sheetFormatPr defaultRowHeight="18.5" x14ac:dyDescent="0.45"/>
  <cols>
    <col min="1" max="1" width="11.140625" customWidth="1"/>
    <col min="2" max="2" width="12.92578125" bestFit="1" customWidth="1"/>
    <col min="3" max="3" width="13.42578125" customWidth="1"/>
    <col min="4" max="4" width="9.35546875" customWidth="1"/>
  </cols>
  <sheetData>
    <row r="1" spans="1:4" x14ac:dyDescent="0.45">
      <c r="A1" s="2" t="s">
        <v>89</v>
      </c>
      <c r="B1" s="2" t="s">
        <v>90</v>
      </c>
      <c r="C1" s="2" t="s">
        <v>91</v>
      </c>
      <c r="D1" s="2" t="s">
        <v>92</v>
      </c>
    </row>
    <row r="2" spans="1:4" x14ac:dyDescent="0.45">
      <c r="A2" s="7">
        <v>45614</v>
      </c>
      <c r="B2" t="s">
        <v>95</v>
      </c>
      <c r="C2" t="s">
        <v>108</v>
      </c>
      <c r="D2" s="8">
        <v>361.17</v>
      </c>
    </row>
    <row r="3" spans="1:4" x14ac:dyDescent="0.45">
      <c r="A3" s="7">
        <v>45938</v>
      </c>
      <c r="B3" t="s">
        <v>93</v>
      </c>
      <c r="C3" t="s">
        <v>100</v>
      </c>
      <c r="D3" s="8">
        <v>175.32</v>
      </c>
    </row>
    <row r="4" spans="1:4" x14ac:dyDescent="0.45">
      <c r="A4" s="7">
        <v>45930</v>
      </c>
      <c r="B4" t="s">
        <v>95</v>
      </c>
      <c r="C4" t="s">
        <v>96</v>
      </c>
      <c r="D4" s="8">
        <v>-6.44</v>
      </c>
    </row>
    <row r="5" spans="1:4" x14ac:dyDescent="0.45">
      <c r="A5" s="7">
        <v>46092</v>
      </c>
      <c r="B5" t="s">
        <v>95</v>
      </c>
      <c r="C5" t="s">
        <v>96</v>
      </c>
      <c r="D5" s="8">
        <v>-3.22</v>
      </c>
    </row>
    <row r="6" spans="1:4" x14ac:dyDescent="0.45">
      <c r="A6" s="7">
        <v>46095</v>
      </c>
      <c r="B6" t="s">
        <v>95</v>
      </c>
      <c r="C6" t="s">
        <v>99</v>
      </c>
      <c r="D6" s="8">
        <v>-113.89</v>
      </c>
    </row>
    <row r="7" spans="1:4" x14ac:dyDescent="0.45">
      <c r="A7" s="7">
        <v>45812</v>
      </c>
      <c r="B7" t="s">
        <v>95</v>
      </c>
      <c r="C7" t="s">
        <v>108</v>
      </c>
      <c r="D7" s="8">
        <v>179.94</v>
      </c>
    </row>
    <row r="8" spans="1:4" x14ac:dyDescent="0.45">
      <c r="A8" s="7">
        <v>45338</v>
      </c>
      <c r="B8" t="s">
        <v>97</v>
      </c>
      <c r="C8" t="s">
        <v>107</v>
      </c>
      <c r="D8" s="8">
        <v>-29.8</v>
      </c>
    </row>
    <row r="9" spans="1:4" x14ac:dyDescent="0.45">
      <c r="A9" s="7">
        <v>45877</v>
      </c>
      <c r="B9" t="s">
        <v>95</v>
      </c>
      <c r="C9" t="s">
        <v>102</v>
      </c>
      <c r="D9" s="8">
        <v>216.52</v>
      </c>
    </row>
    <row r="10" spans="1:4" x14ac:dyDescent="0.45">
      <c r="A10" s="7">
        <v>45478</v>
      </c>
      <c r="B10" t="s">
        <v>93</v>
      </c>
      <c r="C10" t="s">
        <v>106</v>
      </c>
      <c r="D10" s="8">
        <v>-130.33000000000001</v>
      </c>
    </row>
    <row r="11" spans="1:4" x14ac:dyDescent="0.45">
      <c r="A11" s="7">
        <v>45538</v>
      </c>
      <c r="B11" t="s">
        <v>95</v>
      </c>
      <c r="C11" t="s">
        <v>96</v>
      </c>
      <c r="D11" s="8">
        <v>-148.63999999999999</v>
      </c>
    </row>
    <row r="12" spans="1:4" x14ac:dyDescent="0.45">
      <c r="A12" s="7">
        <v>46055</v>
      </c>
      <c r="B12" t="s">
        <v>93</v>
      </c>
      <c r="C12" t="s">
        <v>103</v>
      </c>
      <c r="D12" s="8">
        <v>27.34</v>
      </c>
    </row>
    <row r="13" spans="1:4" x14ac:dyDescent="0.45">
      <c r="A13" s="7">
        <v>45536</v>
      </c>
      <c r="B13" t="s">
        <v>95</v>
      </c>
      <c r="C13" t="s">
        <v>105</v>
      </c>
      <c r="D13" s="8">
        <v>-130.68</v>
      </c>
    </row>
    <row r="14" spans="1:4" x14ac:dyDescent="0.45">
      <c r="A14" s="7">
        <v>45398</v>
      </c>
      <c r="B14" t="s">
        <v>97</v>
      </c>
      <c r="C14" t="s">
        <v>104</v>
      </c>
      <c r="D14" s="8">
        <v>21.82</v>
      </c>
    </row>
    <row r="15" spans="1:4" x14ac:dyDescent="0.45">
      <c r="A15" s="7">
        <v>46083</v>
      </c>
      <c r="B15" t="s">
        <v>93</v>
      </c>
      <c r="C15" t="s">
        <v>94</v>
      </c>
      <c r="D15" s="8">
        <v>160.15</v>
      </c>
    </row>
    <row r="16" spans="1:4" x14ac:dyDescent="0.45">
      <c r="A16" s="7">
        <v>45711</v>
      </c>
      <c r="B16" t="s">
        <v>95</v>
      </c>
      <c r="C16" t="s">
        <v>99</v>
      </c>
      <c r="D16" s="8">
        <v>-147.54</v>
      </c>
    </row>
    <row r="17" spans="1:4" x14ac:dyDescent="0.45">
      <c r="A17" s="7">
        <v>45437</v>
      </c>
      <c r="B17" t="s">
        <v>97</v>
      </c>
      <c r="C17" t="s">
        <v>101</v>
      </c>
      <c r="D17" s="8">
        <v>62.21</v>
      </c>
    </row>
    <row r="18" spans="1:4" x14ac:dyDescent="0.45">
      <c r="A18" s="7">
        <v>46095</v>
      </c>
      <c r="B18" t="s">
        <v>93</v>
      </c>
      <c r="C18" t="s">
        <v>100</v>
      </c>
      <c r="D18" s="8">
        <v>68.83</v>
      </c>
    </row>
    <row r="19" spans="1:4" x14ac:dyDescent="0.45">
      <c r="A19" s="7">
        <v>45909</v>
      </c>
      <c r="B19" t="s">
        <v>97</v>
      </c>
      <c r="C19" t="s">
        <v>104</v>
      </c>
      <c r="D19" s="8">
        <v>392.37</v>
      </c>
    </row>
    <row r="20" spans="1:4" x14ac:dyDescent="0.45">
      <c r="A20" s="7">
        <v>45347</v>
      </c>
      <c r="B20" t="s">
        <v>93</v>
      </c>
      <c r="C20" t="s">
        <v>103</v>
      </c>
      <c r="D20" s="8">
        <v>182.39</v>
      </c>
    </row>
    <row r="21" spans="1:4" x14ac:dyDescent="0.45">
      <c r="A21" s="7">
        <v>46119</v>
      </c>
      <c r="B21" t="s">
        <v>95</v>
      </c>
      <c r="C21" t="s">
        <v>108</v>
      </c>
      <c r="D21" s="8">
        <v>213.05</v>
      </c>
    </row>
    <row r="22" spans="1:4" x14ac:dyDescent="0.45">
      <c r="A22" s="7">
        <v>46095</v>
      </c>
      <c r="B22" t="s">
        <v>95</v>
      </c>
      <c r="C22" t="s">
        <v>99</v>
      </c>
      <c r="D22" s="8">
        <v>-92.56</v>
      </c>
    </row>
    <row r="23" spans="1:4" x14ac:dyDescent="0.45">
      <c r="A23" s="7">
        <v>45448</v>
      </c>
      <c r="B23" t="s">
        <v>95</v>
      </c>
      <c r="C23" t="s">
        <v>109</v>
      </c>
      <c r="D23" s="8">
        <v>-76.23</v>
      </c>
    </row>
    <row r="24" spans="1:4" x14ac:dyDescent="0.45">
      <c r="A24" s="7">
        <v>45372</v>
      </c>
      <c r="B24" t="s">
        <v>95</v>
      </c>
      <c r="C24" t="s">
        <v>102</v>
      </c>
      <c r="D24" s="8">
        <v>87.23</v>
      </c>
    </row>
    <row r="25" spans="1:4" x14ac:dyDescent="0.45">
      <c r="A25" s="7">
        <v>45303</v>
      </c>
      <c r="B25" t="s">
        <v>97</v>
      </c>
      <c r="C25" t="s">
        <v>98</v>
      </c>
      <c r="D25" s="8">
        <v>384.47</v>
      </c>
    </row>
    <row r="26" spans="1:4" x14ac:dyDescent="0.45">
      <c r="A26" s="7">
        <v>45583</v>
      </c>
      <c r="B26" t="s">
        <v>95</v>
      </c>
      <c r="C26" t="s">
        <v>108</v>
      </c>
      <c r="D26" s="8">
        <v>295.73</v>
      </c>
    </row>
    <row r="27" spans="1:4" x14ac:dyDescent="0.45">
      <c r="A27" s="7">
        <v>46091</v>
      </c>
      <c r="B27" t="s">
        <v>97</v>
      </c>
      <c r="C27" t="s">
        <v>104</v>
      </c>
      <c r="D27" s="8">
        <v>-133.6</v>
      </c>
    </row>
    <row r="28" spans="1:4" x14ac:dyDescent="0.45">
      <c r="A28" s="7">
        <v>46024</v>
      </c>
      <c r="B28" t="s">
        <v>93</v>
      </c>
      <c r="C28" t="s">
        <v>100</v>
      </c>
      <c r="D28" s="8">
        <v>213.39</v>
      </c>
    </row>
    <row r="29" spans="1:4" x14ac:dyDescent="0.45">
      <c r="A29" s="7">
        <v>45833</v>
      </c>
      <c r="B29" t="s">
        <v>97</v>
      </c>
      <c r="C29" t="s">
        <v>101</v>
      </c>
      <c r="D29" s="8">
        <v>133.15</v>
      </c>
    </row>
    <row r="30" spans="1:4" x14ac:dyDescent="0.45">
      <c r="A30" s="7">
        <v>45658</v>
      </c>
      <c r="B30" t="s">
        <v>97</v>
      </c>
      <c r="C30" t="s">
        <v>104</v>
      </c>
      <c r="D30" s="8">
        <v>53.29</v>
      </c>
    </row>
    <row r="31" spans="1:4" x14ac:dyDescent="0.45">
      <c r="A31" s="7">
        <v>45941</v>
      </c>
      <c r="B31" t="s">
        <v>97</v>
      </c>
      <c r="C31" t="s">
        <v>98</v>
      </c>
      <c r="D31" s="8">
        <v>25.15</v>
      </c>
    </row>
    <row r="32" spans="1:4" x14ac:dyDescent="0.45">
      <c r="A32" s="7">
        <v>45474</v>
      </c>
      <c r="B32" t="s">
        <v>93</v>
      </c>
      <c r="C32" t="s">
        <v>103</v>
      </c>
      <c r="D32" s="8">
        <v>211.17</v>
      </c>
    </row>
    <row r="33" spans="1:4" x14ac:dyDescent="0.45">
      <c r="A33" s="7">
        <v>45530</v>
      </c>
      <c r="B33" t="s">
        <v>97</v>
      </c>
      <c r="C33" t="s">
        <v>104</v>
      </c>
      <c r="D33" s="8">
        <v>234.37</v>
      </c>
    </row>
    <row r="34" spans="1:4" x14ac:dyDescent="0.45">
      <c r="A34" s="7">
        <v>45737</v>
      </c>
      <c r="B34" t="s">
        <v>95</v>
      </c>
      <c r="C34" t="s">
        <v>109</v>
      </c>
      <c r="D34" s="8">
        <v>287.98</v>
      </c>
    </row>
    <row r="35" spans="1:4" x14ac:dyDescent="0.45">
      <c r="A35" s="7">
        <v>45453</v>
      </c>
      <c r="B35" t="s">
        <v>93</v>
      </c>
      <c r="C35" t="s">
        <v>100</v>
      </c>
      <c r="D35" s="8">
        <v>-120.73</v>
      </c>
    </row>
    <row r="36" spans="1:4" x14ac:dyDescent="0.45">
      <c r="A36" s="7">
        <v>45736</v>
      </c>
      <c r="B36" t="s">
        <v>93</v>
      </c>
      <c r="C36" t="s">
        <v>106</v>
      </c>
      <c r="D36" s="8">
        <v>76.25</v>
      </c>
    </row>
    <row r="37" spans="1:4" x14ac:dyDescent="0.45">
      <c r="A37" s="7">
        <v>46006</v>
      </c>
      <c r="B37" t="s">
        <v>93</v>
      </c>
      <c r="C37" t="s">
        <v>103</v>
      </c>
      <c r="D37" s="8">
        <v>466.18</v>
      </c>
    </row>
    <row r="38" spans="1:4" x14ac:dyDescent="0.45">
      <c r="A38" s="7">
        <v>45950</v>
      </c>
      <c r="B38" t="s">
        <v>93</v>
      </c>
      <c r="C38" t="s">
        <v>94</v>
      </c>
      <c r="D38" s="8">
        <v>149.83000000000001</v>
      </c>
    </row>
    <row r="39" spans="1:4" x14ac:dyDescent="0.45">
      <c r="A39" s="7">
        <v>45932</v>
      </c>
      <c r="B39" t="s">
        <v>93</v>
      </c>
      <c r="C39" t="s">
        <v>94</v>
      </c>
      <c r="D39" s="8">
        <v>179.25</v>
      </c>
    </row>
    <row r="40" spans="1:4" x14ac:dyDescent="0.45">
      <c r="A40" s="7">
        <v>45916</v>
      </c>
      <c r="B40" t="s">
        <v>97</v>
      </c>
      <c r="C40" t="s">
        <v>104</v>
      </c>
      <c r="D40" s="8">
        <v>246.19</v>
      </c>
    </row>
    <row r="41" spans="1:4" x14ac:dyDescent="0.45">
      <c r="A41" s="7">
        <v>45930</v>
      </c>
      <c r="B41" t="s">
        <v>95</v>
      </c>
      <c r="C41" t="s">
        <v>109</v>
      </c>
      <c r="D41" s="8">
        <v>243.34</v>
      </c>
    </row>
    <row r="42" spans="1:4" x14ac:dyDescent="0.45">
      <c r="A42" s="7">
        <v>46080</v>
      </c>
      <c r="B42" t="s">
        <v>93</v>
      </c>
      <c r="C42" t="s">
        <v>100</v>
      </c>
      <c r="D42" s="8">
        <v>-99.95</v>
      </c>
    </row>
    <row r="43" spans="1:4" x14ac:dyDescent="0.45">
      <c r="A43" s="7">
        <v>45476</v>
      </c>
      <c r="B43" t="s">
        <v>93</v>
      </c>
      <c r="C43" t="s">
        <v>106</v>
      </c>
      <c r="D43" s="8">
        <v>217.38</v>
      </c>
    </row>
    <row r="44" spans="1:4" x14ac:dyDescent="0.45">
      <c r="A44" s="7">
        <v>45467</v>
      </c>
      <c r="B44" t="s">
        <v>97</v>
      </c>
      <c r="C44" t="s">
        <v>104</v>
      </c>
      <c r="D44" s="8">
        <v>363.6</v>
      </c>
    </row>
    <row r="45" spans="1:4" x14ac:dyDescent="0.45">
      <c r="A45" s="7">
        <v>45711</v>
      </c>
      <c r="B45" t="s">
        <v>97</v>
      </c>
      <c r="C45" t="s">
        <v>101</v>
      </c>
      <c r="D45" s="8">
        <v>-58.75</v>
      </c>
    </row>
    <row r="46" spans="1:4" x14ac:dyDescent="0.45">
      <c r="A46" s="7">
        <v>45506</v>
      </c>
      <c r="B46" t="s">
        <v>93</v>
      </c>
      <c r="C46" t="s">
        <v>106</v>
      </c>
      <c r="D46" s="8">
        <v>267.23</v>
      </c>
    </row>
    <row r="47" spans="1:4" x14ac:dyDescent="0.45">
      <c r="A47" s="7">
        <v>45883</v>
      </c>
      <c r="B47" t="s">
        <v>93</v>
      </c>
      <c r="C47" t="s">
        <v>103</v>
      </c>
      <c r="D47" s="8">
        <v>-24.99</v>
      </c>
    </row>
    <row r="48" spans="1:4" x14ac:dyDescent="0.45">
      <c r="A48" s="7">
        <v>45924</v>
      </c>
      <c r="B48" t="s">
        <v>95</v>
      </c>
      <c r="C48" t="s">
        <v>108</v>
      </c>
      <c r="D48" s="8">
        <v>-83.73</v>
      </c>
    </row>
    <row r="49" spans="1:4" x14ac:dyDescent="0.45">
      <c r="A49" s="7">
        <v>45930</v>
      </c>
      <c r="B49" t="s">
        <v>93</v>
      </c>
      <c r="C49" t="s">
        <v>94</v>
      </c>
      <c r="D49" s="8">
        <v>479.58</v>
      </c>
    </row>
    <row r="50" spans="1:4" x14ac:dyDescent="0.45">
      <c r="A50" s="7">
        <v>45724</v>
      </c>
      <c r="B50" t="s">
        <v>95</v>
      </c>
      <c r="C50" t="s">
        <v>108</v>
      </c>
      <c r="D50" s="8">
        <v>63.67</v>
      </c>
    </row>
    <row r="51" spans="1:4" x14ac:dyDescent="0.45">
      <c r="A51" s="7">
        <v>45877</v>
      </c>
      <c r="B51" t="s">
        <v>93</v>
      </c>
      <c r="C51" t="s">
        <v>94</v>
      </c>
      <c r="D51" s="8">
        <v>229.15</v>
      </c>
    </row>
    <row r="52" spans="1:4" x14ac:dyDescent="0.45">
      <c r="A52" s="7">
        <v>45769</v>
      </c>
      <c r="B52" t="s">
        <v>95</v>
      </c>
      <c r="C52" t="s">
        <v>108</v>
      </c>
      <c r="D52" s="8">
        <v>-133.12</v>
      </c>
    </row>
    <row r="53" spans="1:4" x14ac:dyDescent="0.45">
      <c r="A53" s="7">
        <v>46051</v>
      </c>
      <c r="B53" t="s">
        <v>97</v>
      </c>
      <c r="C53" t="s">
        <v>101</v>
      </c>
      <c r="D53" s="8">
        <v>376.48</v>
      </c>
    </row>
    <row r="54" spans="1:4" x14ac:dyDescent="0.45">
      <c r="A54" s="7">
        <v>45377</v>
      </c>
      <c r="B54" t="s">
        <v>93</v>
      </c>
      <c r="C54" t="s">
        <v>106</v>
      </c>
      <c r="D54" s="8">
        <v>-62.51</v>
      </c>
    </row>
    <row r="55" spans="1:4" x14ac:dyDescent="0.45">
      <c r="A55" s="7">
        <v>46029</v>
      </c>
      <c r="B55" t="s">
        <v>93</v>
      </c>
      <c r="C55" t="s">
        <v>106</v>
      </c>
      <c r="D55" s="8">
        <v>-119.66</v>
      </c>
    </row>
    <row r="56" spans="1:4" x14ac:dyDescent="0.45">
      <c r="A56" s="7">
        <v>45828</v>
      </c>
      <c r="B56" t="s">
        <v>97</v>
      </c>
      <c r="C56" t="s">
        <v>104</v>
      </c>
      <c r="D56" s="8">
        <v>-51.58</v>
      </c>
    </row>
    <row r="57" spans="1:4" x14ac:dyDescent="0.45">
      <c r="A57" s="7">
        <v>45338</v>
      </c>
      <c r="B57" t="s">
        <v>93</v>
      </c>
      <c r="C57" t="s">
        <v>106</v>
      </c>
      <c r="D57" s="8">
        <v>285.14999999999998</v>
      </c>
    </row>
    <row r="58" spans="1:4" x14ac:dyDescent="0.45">
      <c r="A58" s="7">
        <v>45513</v>
      </c>
      <c r="B58" t="s">
        <v>95</v>
      </c>
      <c r="C58" t="s">
        <v>109</v>
      </c>
      <c r="D58" s="8">
        <v>365.2</v>
      </c>
    </row>
    <row r="59" spans="1:4" x14ac:dyDescent="0.45">
      <c r="A59" s="7">
        <v>45540</v>
      </c>
      <c r="B59" t="s">
        <v>93</v>
      </c>
      <c r="C59" t="s">
        <v>103</v>
      </c>
      <c r="D59" s="8">
        <v>164.5</v>
      </c>
    </row>
    <row r="60" spans="1:4" x14ac:dyDescent="0.45">
      <c r="A60" s="7">
        <v>45981</v>
      </c>
      <c r="B60" t="s">
        <v>93</v>
      </c>
      <c r="C60" t="s">
        <v>103</v>
      </c>
      <c r="D60" s="8">
        <v>275.08</v>
      </c>
    </row>
    <row r="61" spans="1:4" x14ac:dyDescent="0.45">
      <c r="A61" s="7">
        <v>45729</v>
      </c>
      <c r="B61" t="s">
        <v>97</v>
      </c>
      <c r="C61" t="s">
        <v>104</v>
      </c>
      <c r="D61" s="8">
        <v>-148.99</v>
      </c>
    </row>
    <row r="62" spans="1:4" x14ac:dyDescent="0.45">
      <c r="A62" s="7">
        <v>45414</v>
      </c>
      <c r="B62" t="s">
        <v>95</v>
      </c>
      <c r="C62" t="s">
        <v>105</v>
      </c>
      <c r="D62" s="8">
        <v>-138.75</v>
      </c>
    </row>
    <row r="63" spans="1:4" x14ac:dyDescent="0.45">
      <c r="A63" s="7">
        <v>45830</v>
      </c>
      <c r="B63" t="s">
        <v>93</v>
      </c>
      <c r="C63" t="s">
        <v>100</v>
      </c>
      <c r="D63" s="8">
        <v>-37.130000000000003</v>
      </c>
    </row>
    <row r="64" spans="1:4" x14ac:dyDescent="0.45">
      <c r="A64" s="7">
        <v>45656</v>
      </c>
      <c r="B64" t="s">
        <v>97</v>
      </c>
      <c r="C64" t="s">
        <v>107</v>
      </c>
      <c r="D64" s="8">
        <v>64.89</v>
      </c>
    </row>
    <row r="65" spans="1:4" x14ac:dyDescent="0.45">
      <c r="A65" s="7">
        <v>46191</v>
      </c>
      <c r="B65" t="s">
        <v>93</v>
      </c>
      <c r="C65" t="s">
        <v>103</v>
      </c>
      <c r="D65" s="8">
        <v>166.07</v>
      </c>
    </row>
    <row r="66" spans="1:4" x14ac:dyDescent="0.45">
      <c r="A66" s="7">
        <v>46124</v>
      </c>
      <c r="B66" t="s">
        <v>97</v>
      </c>
      <c r="C66" t="s">
        <v>107</v>
      </c>
      <c r="D66" s="8">
        <v>183.98</v>
      </c>
    </row>
    <row r="67" spans="1:4" x14ac:dyDescent="0.45">
      <c r="A67" s="7">
        <v>45813</v>
      </c>
      <c r="B67" t="s">
        <v>97</v>
      </c>
      <c r="C67" t="s">
        <v>104</v>
      </c>
      <c r="D67" s="8">
        <v>92.82</v>
      </c>
    </row>
    <row r="68" spans="1:4" x14ac:dyDescent="0.45">
      <c r="A68" s="7">
        <v>45365</v>
      </c>
      <c r="B68" t="s">
        <v>93</v>
      </c>
      <c r="C68" t="s">
        <v>100</v>
      </c>
      <c r="D68" s="8">
        <v>90.16</v>
      </c>
    </row>
    <row r="69" spans="1:4" x14ac:dyDescent="0.45">
      <c r="A69" s="7">
        <v>45997</v>
      </c>
      <c r="B69" t="s">
        <v>97</v>
      </c>
      <c r="C69" t="s">
        <v>107</v>
      </c>
      <c r="D69" s="8">
        <v>2.34</v>
      </c>
    </row>
    <row r="70" spans="1:4" x14ac:dyDescent="0.45">
      <c r="A70" s="7">
        <v>45457</v>
      </c>
      <c r="B70" t="s">
        <v>97</v>
      </c>
      <c r="C70" t="s">
        <v>104</v>
      </c>
      <c r="D70" s="8">
        <v>416.36</v>
      </c>
    </row>
    <row r="71" spans="1:4" x14ac:dyDescent="0.45">
      <c r="A71" s="7">
        <v>45683</v>
      </c>
      <c r="B71" t="s">
        <v>95</v>
      </c>
      <c r="C71" t="s">
        <v>102</v>
      </c>
      <c r="D71" s="8">
        <v>343.6</v>
      </c>
    </row>
    <row r="72" spans="1:4" x14ac:dyDescent="0.45">
      <c r="A72" s="7">
        <v>46023</v>
      </c>
      <c r="B72" t="s">
        <v>97</v>
      </c>
      <c r="C72" t="s">
        <v>101</v>
      </c>
      <c r="D72" s="8">
        <v>470.79</v>
      </c>
    </row>
    <row r="73" spans="1:4" x14ac:dyDescent="0.45">
      <c r="A73" s="7">
        <v>45954</v>
      </c>
      <c r="B73" t="s">
        <v>97</v>
      </c>
      <c r="C73" t="s">
        <v>104</v>
      </c>
      <c r="D73" s="8">
        <v>183.83</v>
      </c>
    </row>
    <row r="74" spans="1:4" x14ac:dyDescent="0.45">
      <c r="A74" s="7">
        <v>45850</v>
      </c>
      <c r="B74" t="s">
        <v>93</v>
      </c>
      <c r="C74" t="s">
        <v>103</v>
      </c>
      <c r="D74" s="8">
        <v>62.97</v>
      </c>
    </row>
    <row r="75" spans="1:4" x14ac:dyDescent="0.45">
      <c r="A75" s="7">
        <v>45871</v>
      </c>
      <c r="B75" t="s">
        <v>95</v>
      </c>
      <c r="C75" t="s">
        <v>102</v>
      </c>
      <c r="D75" s="8">
        <v>312.14</v>
      </c>
    </row>
    <row r="76" spans="1:4" x14ac:dyDescent="0.45">
      <c r="A76" s="7">
        <v>45980</v>
      </c>
      <c r="B76" t="s">
        <v>97</v>
      </c>
      <c r="C76" t="s">
        <v>98</v>
      </c>
      <c r="D76" s="8">
        <v>244.18</v>
      </c>
    </row>
    <row r="77" spans="1:4" x14ac:dyDescent="0.45">
      <c r="A77" s="7">
        <v>45296</v>
      </c>
      <c r="B77" t="s">
        <v>97</v>
      </c>
      <c r="C77" t="s">
        <v>107</v>
      </c>
      <c r="D77" s="8">
        <v>340.92</v>
      </c>
    </row>
    <row r="78" spans="1:4" x14ac:dyDescent="0.45">
      <c r="A78" s="7">
        <v>45382</v>
      </c>
      <c r="B78" t="s">
        <v>93</v>
      </c>
      <c r="C78" t="s">
        <v>100</v>
      </c>
      <c r="D78" s="8">
        <v>-146.69</v>
      </c>
    </row>
    <row r="79" spans="1:4" x14ac:dyDescent="0.45">
      <c r="A79" s="7">
        <v>45732</v>
      </c>
      <c r="B79" t="s">
        <v>93</v>
      </c>
      <c r="C79" t="s">
        <v>94</v>
      </c>
      <c r="D79" s="8">
        <v>-111.01</v>
      </c>
    </row>
    <row r="80" spans="1:4" x14ac:dyDescent="0.45">
      <c r="A80" s="7">
        <v>45861</v>
      </c>
      <c r="B80" t="s">
        <v>95</v>
      </c>
      <c r="C80" t="s">
        <v>96</v>
      </c>
      <c r="D80" s="8">
        <v>-129.38</v>
      </c>
    </row>
    <row r="81" spans="1:4" x14ac:dyDescent="0.45">
      <c r="A81" s="7">
        <v>45589</v>
      </c>
      <c r="B81" t="s">
        <v>97</v>
      </c>
      <c r="C81" t="s">
        <v>107</v>
      </c>
      <c r="D81" s="8">
        <v>376.31</v>
      </c>
    </row>
    <row r="82" spans="1:4" x14ac:dyDescent="0.45">
      <c r="A82" s="7">
        <v>45292</v>
      </c>
      <c r="B82" t="s">
        <v>95</v>
      </c>
      <c r="C82" t="s">
        <v>109</v>
      </c>
      <c r="D82" s="8">
        <v>28.47</v>
      </c>
    </row>
    <row r="83" spans="1:4" x14ac:dyDescent="0.45">
      <c r="A83" s="7">
        <v>45791</v>
      </c>
      <c r="B83" t="s">
        <v>97</v>
      </c>
      <c r="C83" t="s">
        <v>104</v>
      </c>
      <c r="D83" s="8">
        <v>-18.079999999999998</v>
      </c>
    </row>
    <row r="84" spans="1:4" x14ac:dyDescent="0.45">
      <c r="A84" s="7">
        <v>45341</v>
      </c>
      <c r="B84" t="s">
        <v>95</v>
      </c>
      <c r="C84" t="s">
        <v>109</v>
      </c>
      <c r="D84" s="8">
        <v>330.64</v>
      </c>
    </row>
    <row r="85" spans="1:4" x14ac:dyDescent="0.45">
      <c r="A85" s="7">
        <v>45490</v>
      </c>
      <c r="B85" t="s">
        <v>93</v>
      </c>
      <c r="C85" t="s">
        <v>100</v>
      </c>
      <c r="D85" s="8">
        <v>451.2</v>
      </c>
    </row>
    <row r="86" spans="1:4" x14ac:dyDescent="0.45">
      <c r="A86" s="7">
        <v>45457</v>
      </c>
      <c r="B86" t="s">
        <v>93</v>
      </c>
      <c r="C86" t="s">
        <v>106</v>
      </c>
      <c r="D86" s="8">
        <v>35.89</v>
      </c>
    </row>
    <row r="87" spans="1:4" x14ac:dyDescent="0.45">
      <c r="A87" s="7">
        <v>45536</v>
      </c>
      <c r="B87" t="s">
        <v>95</v>
      </c>
      <c r="C87" t="s">
        <v>99</v>
      </c>
      <c r="D87" s="8">
        <v>71.209999999999994</v>
      </c>
    </row>
    <row r="88" spans="1:4" x14ac:dyDescent="0.45">
      <c r="A88" s="7">
        <v>45650</v>
      </c>
      <c r="B88" t="s">
        <v>93</v>
      </c>
      <c r="C88" t="s">
        <v>106</v>
      </c>
      <c r="D88" s="8">
        <v>400.25</v>
      </c>
    </row>
    <row r="89" spans="1:4" x14ac:dyDescent="0.45">
      <c r="A89" s="7">
        <v>45874</v>
      </c>
      <c r="B89" t="s">
        <v>95</v>
      </c>
      <c r="C89" t="s">
        <v>109</v>
      </c>
      <c r="D89" s="8">
        <v>-29.64</v>
      </c>
    </row>
    <row r="90" spans="1:4" x14ac:dyDescent="0.45">
      <c r="A90" s="7">
        <v>45522</v>
      </c>
      <c r="B90" t="s">
        <v>93</v>
      </c>
      <c r="C90" t="s">
        <v>106</v>
      </c>
      <c r="D90" s="8">
        <v>-67.709999999999994</v>
      </c>
    </row>
    <row r="91" spans="1:4" x14ac:dyDescent="0.45">
      <c r="A91" s="7">
        <v>45464</v>
      </c>
      <c r="B91" t="s">
        <v>95</v>
      </c>
      <c r="C91" t="s">
        <v>102</v>
      </c>
      <c r="D91" s="8">
        <v>391.69</v>
      </c>
    </row>
    <row r="92" spans="1:4" x14ac:dyDescent="0.45">
      <c r="A92" s="7">
        <v>45635</v>
      </c>
      <c r="B92" t="s">
        <v>95</v>
      </c>
      <c r="C92" t="s">
        <v>105</v>
      </c>
      <c r="D92" s="8">
        <v>467.36</v>
      </c>
    </row>
    <row r="93" spans="1:4" x14ac:dyDescent="0.45">
      <c r="A93" s="7">
        <v>46032</v>
      </c>
      <c r="B93" t="s">
        <v>93</v>
      </c>
      <c r="C93" t="s">
        <v>94</v>
      </c>
      <c r="D93" s="8">
        <v>329.86</v>
      </c>
    </row>
    <row r="94" spans="1:4" x14ac:dyDescent="0.45">
      <c r="A94" s="7">
        <v>45467</v>
      </c>
      <c r="B94" t="s">
        <v>97</v>
      </c>
      <c r="C94" t="s">
        <v>98</v>
      </c>
      <c r="D94" s="8">
        <v>448.99</v>
      </c>
    </row>
    <row r="95" spans="1:4" x14ac:dyDescent="0.45">
      <c r="A95" s="7">
        <v>45612</v>
      </c>
      <c r="B95" t="s">
        <v>93</v>
      </c>
      <c r="C95" t="s">
        <v>100</v>
      </c>
      <c r="D95" s="8">
        <v>-5.29</v>
      </c>
    </row>
    <row r="96" spans="1:4" x14ac:dyDescent="0.45">
      <c r="A96" s="7">
        <v>45880</v>
      </c>
      <c r="B96" t="s">
        <v>93</v>
      </c>
      <c r="C96" t="s">
        <v>106</v>
      </c>
      <c r="D96" s="8">
        <v>98.39</v>
      </c>
    </row>
    <row r="97" spans="1:4" x14ac:dyDescent="0.45">
      <c r="A97" s="7">
        <v>45821</v>
      </c>
      <c r="B97" t="s">
        <v>97</v>
      </c>
      <c r="C97" t="s">
        <v>104</v>
      </c>
      <c r="D97" s="8">
        <v>346.29</v>
      </c>
    </row>
    <row r="98" spans="1:4" x14ac:dyDescent="0.45">
      <c r="A98" s="7">
        <v>45551</v>
      </c>
      <c r="B98" t="s">
        <v>93</v>
      </c>
      <c r="C98" t="s">
        <v>100</v>
      </c>
      <c r="D98" s="8">
        <v>1.21</v>
      </c>
    </row>
    <row r="99" spans="1:4" x14ac:dyDescent="0.45">
      <c r="A99" s="7">
        <v>46126</v>
      </c>
      <c r="B99" t="s">
        <v>95</v>
      </c>
      <c r="C99" t="s">
        <v>96</v>
      </c>
      <c r="D99" s="8">
        <v>251.2</v>
      </c>
    </row>
    <row r="100" spans="1:4" x14ac:dyDescent="0.45">
      <c r="A100" s="7">
        <v>45742</v>
      </c>
      <c r="B100" t="s">
        <v>97</v>
      </c>
      <c r="C100" t="s">
        <v>107</v>
      </c>
      <c r="D100" s="8">
        <v>190.13</v>
      </c>
    </row>
    <row r="101" spans="1:4" x14ac:dyDescent="0.45">
      <c r="A101" s="7">
        <v>45764</v>
      </c>
      <c r="B101" t="s">
        <v>97</v>
      </c>
      <c r="C101" t="s">
        <v>98</v>
      </c>
      <c r="D101" s="8">
        <v>432.98</v>
      </c>
    </row>
    <row r="102" spans="1:4" x14ac:dyDescent="0.45">
      <c r="A102" s="7">
        <v>45412</v>
      </c>
      <c r="B102" t="s">
        <v>93</v>
      </c>
      <c r="C102" t="s">
        <v>103</v>
      </c>
      <c r="D102" s="8">
        <v>-1.37</v>
      </c>
    </row>
    <row r="103" spans="1:4" x14ac:dyDescent="0.45">
      <c r="A103" s="7">
        <v>45375</v>
      </c>
      <c r="B103" t="s">
        <v>95</v>
      </c>
      <c r="C103" t="s">
        <v>99</v>
      </c>
      <c r="D103" s="8">
        <v>461.3</v>
      </c>
    </row>
    <row r="104" spans="1:4" x14ac:dyDescent="0.45">
      <c r="A104" s="7">
        <v>45911</v>
      </c>
      <c r="B104" t="s">
        <v>95</v>
      </c>
      <c r="C104" t="s">
        <v>108</v>
      </c>
      <c r="D104" s="8">
        <v>305.37</v>
      </c>
    </row>
    <row r="105" spans="1:4" x14ac:dyDescent="0.45">
      <c r="A105" s="7">
        <v>46021</v>
      </c>
      <c r="B105" t="s">
        <v>95</v>
      </c>
      <c r="C105" t="s">
        <v>105</v>
      </c>
      <c r="D105" s="8">
        <v>51.8</v>
      </c>
    </row>
    <row r="106" spans="1:4" x14ac:dyDescent="0.45">
      <c r="A106" s="7">
        <v>45612</v>
      </c>
      <c r="B106" t="s">
        <v>97</v>
      </c>
      <c r="C106" t="s">
        <v>104</v>
      </c>
      <c r="D106" s="8">
        <v>420.87</v>
      </c>
    </row>
    <row r="107" spans="1:4" x14ac:dyDescent="0.45">
      <c r="A107" s="7">
        <v>45914</v>
      </c>
      <c r="B107" t="s">
        <v>93</v>
      </c>
      <c r="C107" t="s">
        <v>100</v>
      </c>
      <c r="D107" s="8">
        <v>188.26</v>
      </c>
    </row>
    <row r="108" spans="1:4" x14ac:dyDescent="0.45">
      <c r="A108" s="7">
        <v>45317</v>
      </c>
      <c r="B108" t="s">
        <v>95</v>
      </c>
      <c r="C108" t="s">
        <v>96</v>
      </c>
      <c r="D108" s="8">
        <v>281.07</v>
      </c>
    </row>
    <row r="109" spans="1:4" x14ac:dyDescent="0.45">
      <c r="A109" s="7">
        <v>46064</v>
      </c>
      <c r="B109" t="s">
        <v>97</v>
      </c>
      <c r="C109" t="s">
        <v>101</v>
      </c>
      <c r="D109" s="8">
        <v>84.54</v>
      </c>
    </row>
    <row r="110" spans="1:4" x14ac:dyDescent="0.45">
      <c r="A110" s="7">
        <v>45832</v>
      </c>
      <c r="B110" t="s">
        <v>97</v>
      </c>
      <c r="C110" t="s">
        <v>98</v>
      </c>
      <c r="D110" s="8">
        <v>-51.89</v>
      </c>
    </row>
    <row r="111" spans="1:4" x14ac:dyDescent="0.45">
      <c r="A111" s="7">
        <v>45585</v>
      </c>
      <c r="B111" t="s">
        <v>97</v>
      </c>
      <c r="C111" t="s">
        <v>104</v>
      </c>
      <c r="D111" s="8">
        <v>-56.31</v>
      </c>
    </row>
    <row r="112" spans="1:4" x14ac:dyDescent="0.45">
      <c r="A112" s="7">
        <v>46132</v>
      </c>
      <c r="B112" t="s">
        <v>97</v>
      </c>
      <c r="C112" t="s">
        <v>107</v>
      </c>
      <c r="D112" s="8">
        <v>-140.22</v>
      </c>
    </row>
    <row r="113" spans="1:4" x14ac:dyDescent="0.45">
      <c r="A113" s="7">
        <v>46117</v>
      </c>
      <c r="B113" t="s">
        <v>97</v>
      </c>
      <c r="C113" t="s">
        <v>101</v>
      </c>
      <c r="D113" s="8">
        <v>46.05</v>
      </c>
    </row>
    <row r="114" spans="1:4" x14ac:dyDescent="0.45">
      <c r="A114" s="7">
        <v>45575</v>
      </c>
      <c r="B114" t="s">
        <v>95</v>
      </c>
      <c r="C114" t="s">
        <v>99</v>
      </c>
      <c r="D114" s="8">
        <v>-106.62</v>
      </c>
    </row>
    <row r="115" spans="1:4" x14ac:dyDescent="0.45">
      <c r="A115" s="7">
        <v>45804</v>
      </c>
      <c r="B115" t="s">
        <v>93</v>
      </c>
      <c r="C115" t="s">
        <v>94</v>
      </c>
      <c r="D115" s="8">
        <v>-119.5</v>
      </c>
    </row>
    <row r="116" spans="1:4" x14ac:dyDescent="0.45">
      <c r="A116" s="7">
        <v>45314</v>
      </c>
      <c r="B116" t="s">
        <v>93</v>
      </c>
      <c r="C116" t="s">
        <v>106</v>
      </c>
      <c r="D116" s="8">
        <v>473.93</v>
      </c>
    </row>
    <row r="117" spans="1:4" x14ac:dyDescent="0.45">
      <c r="A117" s="7">
        <v>46040</v>
      </c>
      <c r="B117" t="s">
        <v>93</v>
      </c>
      <c r="C117" t="s">
        <v>103</v>
      </c>
      <c r="D117" s="8">
        <v>72.72</v>
      </c>
    </row>
    <row r="118" spans="1:4" x14ac:dyDescent="0.45">
      <c r="A118" s="7">
        <v>46029</v>
      </c>
      <c r="B118" t="s">
        <v>95</v>
      </c>
      <c r="C118" t="s">
        <v>108</v>
      </c>
      <c r="D118" s="8">
        <v>304.10000000000002</v>
      </c>
    </row>
    <row r="119" spans="1:4" x14ac:dyDescent="0.45">
      <c r="A119" s="7">
        <v>45746</v>
      </c>
      <c r="B119" t="s">
        <v>93</v>
      </c>
      <c r="C119" t="s">
        <v>106</v>
      </c>
      <c r="D119" s="8">
        <v>343.76</v>
      </c>
    </row>
    <row r="120" spans="1:4" x14ac:dyDescent="0.45">
      <c r="A120" s="7">
        <v>45977</v>
      </c>
      <c r="B120" t="s">
        <v>93</v>
      </c>
      <c r="C120" t="s">
        <v>100</v>
      </c>
      <c r="D120" s="8">
        <v>115.49</v>
      </c>
    </row>
    <row r="121" spans="1:4" x14ac:dyDescent="0.45">
      <c r="A121" s="7">
        <v>45921</v>
      </c>
      <c r="B121" t="s">
        <v>95</v>
      </c>
      <c r="C121" t="s">
        <v>109</v>
      </c>
      <c r="D121" s="8">
        <v>113.8</v>
      </c>
    </row>
    <row r="122" spans="1:4" x14ac:dyDescent="0.45">
      <c r="A122" s="7">
        <v>46082</v>
      </c>
      <c r="B122" t="s">
        <v>95</v>
      </c>
      <c r="C122" t="s">
        <v>96</v>
      </c>
      <c r="D122" s="8">
        <v>270.52</v>
      </c>
    </row>
    <row r="123" spans="1:4" x14ac:dyDescent="0.45">
      <c r="A123" s="7">
        <v>45505</v>
      </c>
      <c r="B123" t="s">
        <v>95</v>
      </c>
      <c r="C123" t="s">
        <v>96</v>
      </c>
      <c r="D123" s="8">
        <v>5.76</v>
      </c>
    </row>
    <row r="124" spans="1:4" x14ac:dyDescent="0.45">
      <c r="A124" s="7">
        <v>45690</v>
      </c>
      <c r="B124" t="s">
        <v>95</v>
      </c>
      <c r="C124" t="s">
        <v>105</v>
      </c>
      <c r="D124" s="8">
        <v>-33.18</v>
      </c>
    </row>
    <row r="125" spans="1:4" x14ac:dyDescent="0.45">
      <c r="A125" s="7">
        <v>45455</v>
      </c>
      <c r="B125" t="s">
        <v>95</v>
      </c>
      <c r="C125" t="s">
        <v>109</v>
      </c>
      <c r="D125" s="8">
        <v>144.94</v>
      </c>
    </row>
    <row r="126" spans="1:4" x14ac:dyDescent="0.45">
      <c r="A126" s="7">
        <v>46024</v>
      </c>
      <c r="B126" t="s">
        <v>97</v>
      </c>
      <c r="C126" t="s">
        <v>101</v>
      </c>
      <c r="D126" s="8">
        <v>413.67</v>
      </c>
    </row>
    <row r="127" spans="1:4" x14ac:dyDescent="0.45">
      <c r="A127" s="7">
        <v>45694</v>
      </c>
      <c r="B127" t="s">
        <v>93</v>
      </c>
      <c r="C127" t="s">
        <v>103</v>
      </c>
      <c r="D127" s="8">
        <v>217.78</v>
      </c>
    </row>
    <row r="128" spans="1:4" x14ac:dyDescent="0.45">
      <c r="A128" s="7">
        <v>45866</v>
      </c>
      <c r="B128" t="s">
        <v>95</v>
      </c>
      <c r="C128" t="s">
        <v>99</v>
      </c>
      <c r="D128" s="8">
        <v>356.83</v>
      </c>
    </row>
    <row r="129" spans="1:4" x14ac:dyDescent="0.45">
      <c r="A129" s="7">
        <v>46128</v>
      </c>
      <c r="B129" t="s">
        <v>97</v>
      </c>
      <c r="C129" t="s">
        <v>104</v>
      </c>
      <c r="D129" s="8">
        <v>493.21</v>
      </c>
    </row>
    <row r="130" spans="1:4" x14ac:dyDescent="0.45">
      <c r="A130" s="7">
        <v>45735</v>
      </c>
      <c r="B130" t="s">
        <v>93</v>
      </c>
      <c r="C130" t="s">
        <v>100</v>
      </c>
      <c r="D130" s="8">
        <v>94.23</v>
      </c>
    </row>
    <row r="131" spans="1:4" x14ac:dyDescent="0.45">
      <c r="A131" s="7">
        <v>45803</v>
      </c>
      <c r="B131" t="s">
        <v>93</v>
      </c>
      <c r="C131" t="s">
        <v>100</v>
      </c>
      <c r="D131" s="8">
        <v>212.98</v>
      </c>
    </row>
    <row r="132" spans="1:4" x14ac:dyDescent="0.45">
      <c r="A132" s="7">
        <v>45575</v>
      </c>
      <c r="B132" t="s">
        <v>95</v>
      </c>
      <c r="C132" t="s">
        <v>109</v>
      </c>
      <c r="D132" s="8">
        <v>397.24</v>
      </c>
    </row>
    <row r="133" spans="1:4" x14ac:dyDescent="0.45">
      <c r="A133" s="7">
        <v>45875</v>
      </c>
      <c r="B133" t="s">
        <v>95</v>
      </c>
      <c r="C133" t="s">
        <v>105</v>
      </c>
      <c r="D133" s="8">
        <v>251.79</v>
      </c>
    </row>
    <row r="134" spans="1:4" x14ac:dyDescent="0.45">
      <c r="A134" s="7">
        <v>46064</v>
      </c>
      <c r="B134" t="s">
        <v>97</v>
      </c>
      <c r="C134" t="s">
        <v>98</v>
      </c>
      <c r="D134" s="8">
        <v>64.06</v>
      </c>
    </row>
    <row r="135" spans="1:4" x14ac:dyDescent="0.45">
      <c r="A135" s="7">
        <v>45662</v>
      </c>
      <c r="B135" t="s">
        <v>93</v>
      </c>
      <c r="C135" t="s">
        <v>103</v>
      </c>
      <c r="D135" s="8">
        <v>169.15</v>
      </c>
    </row>
    <row r="136" spans="1:4" x14ac:dyDescent="0.45">
      <c r="A136" s="7">
        <v>45297</v>
      </c>
      <c r="B136" t="s">
        <v>93</v>
      </c>
      <c r="C136" t="s">
        <v>103</v>
      </c>
      <c r="D136" s="8">
        <v>436.28</v>
      </c>
    </row>
    <row r="137" spans="1:4" x14ac:dyDescent="0.45">
      <c r="A137" s="7">
        <v>46142</v>
      </c>
      <c r="B137" t="s">
        <v>97</v>
      </c>
      <c r="C137" t="s">
        <v>104</v>
      </c>
      <c r="D137" s="8">
        <v>364.37</v>
      </c>
    </row>
    <row r="138" spans="1:4" x14ac:dyDescent="0.45">
      <c r="A138" s="7">
        <v>45386</v>
      </c>
      <c r="B138" t="s">
        <v>93</v>
      </c>
      <c r="C138" t="s">
        <v>94</v>
      </c>
      <c r="D138" s="8">
        <v>70.42</v>
      </c>
    </row>
    <row r="139" spans="1:4" x14ac:dyDescent="0.45">
      <c r="A139" s="7">
        <v>45947</v>
      </c>
      <c r="B139" t="s">
        <v>93</v>
      </c>
      <c r="C139" t="s">
        <v>94</v>
      </c>
      <c r="D139" s="8">
        <v>85.88</v>
      </c>
    </row>
    <row r="140" spans="1:4" x14ac:dyDescent="0.45">
      <c r="A140" s="7">
        <v>45902</v>
      </c>
      <c r="B140" t="s">
        <v>97</v>
      </c>
      <c r="C140" t="s">
        <v>101</v>
      </c>
      <c r="D140" s="8">
        <v>23.84</v>
      </c>
    </row>
    <row r="141" spans="1:4" x14ac:dyDescent="0.45">
      <c r="A141" s="7">
        <v>45631</v>
      </c>
      <c r="B141" t="s">
        <v>93</v>
      </c>
      <c r="C141" t="s">
        <v>106</v>
      </c>
      <c r="D141" s="8">
        <v>-99.69</v>
      </c>
    </row>
    <row r="142" spans="1:4" x14ac:dyDescent="0.45">
      <c r="A142" s="7">
        <v>45954</v>
      </c>
      <c r="B142" t="s">
        <v>93</v>
      </c>
      <c r="C142" t="s">
        <v>106</v>
      </c>
      <c r="D142" s="8">
        <v>433.28</v>
      </c>
    </row>
    <row r="143" spans="1:4" x14ac:dyDescent="0.45">
      <c r="A143" s="7">
        <v>46048</v>
      </c>
      <c r="B143" t="s">
        <v>97</v>
      </c>
      <c r="C143" t="s">
        <v>104</v>
      </c>
      <c r="D143" s="8">
        <v>490.17</v>
      </c>
    </row>
    <row r="144" spans="1:4" x14ac:dyDescent="0.45">
      <c r="A144" s="7">
        <v>45733</v>
      </c>
      <c r="B144" t="s">
        <v>95</v>
      </c>
      <c r="C144" t="s">
        <v>96</v>
      </c>
      <c r="D144" s="8">
        <v>-100.75</v>
      </c>
    </row>
    <row r="145" spans="1:4" x14ac:dyDescent="0.45">
      <c r="A145" s="7">
        <v>45308</v>
      </c>
      <c r="B145" t="s">
        <v>97</v>
      </c>
      <c r="C145" t="s">
        <v>104</v>
      </c>
      <c r="D145" s="8">
        <v>24.41</v>
      </c>
    </row>
    <row r="146" spans="1:4" x14ac:dyDescent="0.45">
      <c r="A146" s="7">
        <v>45689</v>
      </c>
      <c r="B146" t="s">
        <v>95</v>
      </c>
      <c r="C146" t="s">
        <v>108</v>
      </c>
      <c r="D146" s="8">
        <v>146.01</v>
      </c>
    </row>
    <row r="147" spans="1:4" x14ac:dyDescent="0.45">
      <c r="A147" s="7">
        <v>45582</v>
      </c>
      <c r="B147" t="s">
        <v>97</v>
      </c>
      <c r="C147" t="s">
        <v>104</v>
      </c>
      <c r="D147" s="8">
        <v>172.63</v>
      </c>
    </row>
    <row r="148" spans="1:4" x14ac:dyDescent="0.45">
      <c r="A148" s="7">
        <v>45875</v>
      </c>
      <c r="B148" t="s">
        <v>93</v>
      </c>
      <c r="C148" t="s">
        <v>100</v>
      </c>
      <c r="D148" s="8">
        <v>29.82</v>
      </c>
    </row>
    <row r="149" spans="1:4" x14ac:dyDescent="0.45">
      <c r="A149" s="7">
        <v>45837</v>
      </c>
      <c r="B149" t="s">
        <v>93</v>
      </c>
      <c r="C149" t="s">
        <v>106</v>
      </c>
      <c r="D149" s="8">
        <v>210.88</v>
      </c>
    </row>
    <row r="150" spans="1:4" x14ac:dyDescent="0.45">
      <c r="A150" s="7">
        <v>45888</v>
      </c>
      <c r="B150" t="s">
        <v>93</v>
      </c>
      <c r="C150" t="s">
        <v>94</v>
      </c>
      <c r="D150" s="8">
        <v>-23.34</v>
      </c>
    </row>
    <row r="151" spans="1:4" x14ac:dyDescent="0.45">
      <c r="A151" s="7">
        <v>45374</v>
      </c>
      <c r="B151" t="s">
        <v>97</v>
      </c>
      <c r="C151" t="s">
        <v>101</v>
      </c>
      <c r="D151" s="8">
        <v>251.68</v>
      </c>
    </row>
    <row r="152" spans="1:4" x14ac:dyDescent="0.45">
      <c r="A152" s="7">
        <v>45367</v>
      </c>
      <c r="B152" t="s">
        <v>93</v>
      </c>
      <c r="C152" t="s">
        <v>103</v>
      </c>
      <c r="D152" s="8">
        <v>202.12</v>
      </c>
    </row>
    <row r="153" spans="1:4" x14ac:dyDescent="0.45">
      <c r="A153" s="7">
        <v>45619</v>
      </c>
      <c r="B153" t="s">
        <v>95</v>
      </c>
      <c r="C153" t="s">
        <v>102</v>
      </c>
      <c r="D153" s="8">
        <v>407.14</v>
      </c>
    </row>
    <row r="154" spans="1:4" x14ac:dyDescent="0.45">
      <c r="A154" s="7">
        <v>45866</v>
      </c>
      <c r="B154" t="s">
        <v>93</v>
      </c>
      <c r="C154" t="s">
        <v>103</v>
      </c>
      <c r="D154" s="8">
        <v>-99.43</v>
      </c>
    </row>
    <row r="155" spans="1:4" x14ac:dyDescent="0.45">
      <c r="A155" s="7">
        <v>45666</v>
      </c>
      <c r="B155" t="s">
        <v>93</v>
      </c>
      <c r="C155" t="s">
        <v>106</v>
      </c>
      <c r="D155" s="8">
        <v>-128.22999999999999</v>
      </c>
    </row>
    <row r="156" spans="1:4" x14ac:dyDescent="0.45">
      <c r="A156" s="7">
        <v>46035</v>
      </c>
      <c r="B156" t="s">
        <v>95</v>
      </c>
      <c r="C156" t="s">
        <v>102</v>
      </c>
      <c r="D156" s="8">
        <v>449.72</v>
      </c>
    </row>
    <row r="157" spans="1:4" x14ac:dyDescent="0.45">
      <c r="A157" s="7">
        <v>45513</v>
      </c>
      <c r="B157" t="s">
        <v>97</v>
      </c>
      <c r="C157" t="s">
        <v>101</v>
      </c>
      <c r="D157" s="8">
        <v>-33.57</v>
      </c>
    </row>
    <row r="158" spans="1:4" x14ac:dyDescent="0.45">
      <c r="A158" s="7">
        <v>45993</v>
      </c>
      <c r="B158" t="s">
        <v>95</v>
      </c>
      <c r="C158" t="s">
        <v>102</v>
      </c>
      <c r="D158" s="8">
        <v>-143.77000000000001</v>
      </c>
    </row>
    <row r="159" spans="1:4" x14ac:dyDescent="0.45">
      <c r="A159" s="7">
        <v>46084</v>
      </c>
      <c r="B159" t="s">
        <v>97</v>
      </c>
      <c r="C159" t="s">
        <v>104</v>
      </c>
      <c r="D159" s="8">
        <v>-28.07</v>
      </c>
    </row>
    <row r="160" spans="1:4" x14ac:dyDescent="0.45">
      <c r="A160" s="7">
        <v>45431</v>
      </c>
      <c r="B160" t="s">
        <v>95</v>
      </c>
      <c r="C160" t="s">
        <v>109</v>
      </c>
      <c r="D160" s="8">
        <v>-133.69</v>
      </c>
    </row>
    <row r="161" spans="1:4" x14ac:dyDescent="0.45">
      <c r="A161" s="7">
        <v>45991</v>
      </c>
      <c r="B161" t="s">
        <v>97</v>
      </c>
      <c r="C161" t="s">
        <v>104</v>
      </c>
      <c r="D161" s="8">
        <v>276.3</v>
      </c>
    </row>
    <row r="162" spans="1:4" x14ac:dyDescent="0.45">
      <c r="A162" s="7">
        <v>45440</v>
      </c>
      <c r="B162" t="s">
        <v>93</v>
      </c>
      <c r="C162" t="s">
        <v>103</v>
      </c>
      <c r="D162" s="8">
        <v>321.89999999999998</v>
      </c>
    </row>
    <row r="163" spans="1:4" x14ac:dyDescent="0.45">
      <c r="A163" s="7">
        <v>46187</v>
      </c>
      <c r="B163" t="s">
        <v>93</v>
      </c>
      <c r="C163" t="s">
        <v>103</v>
      </c>
      <c r="D163" s="8">
        <v>22.4</v>
      </c>
    </row>
    <row r="164" spans="1:4" x14ac:dyDescent="0.45">
      <c r="A164" s="7">
        <v>45828</v>
      </c>
      <c r="B164" t="s">
        <v>97</v>
      </c>
      <c r="C164" t="s">
        <v>104</v>
      </c>
      <c r="D164" s="8">
        <v>460.6</v>
      </c>
    </row>
    <row r="165" spans="1:4" x14ac:dyDescent="0.45">
      <c r="A165" s="7">
        <v>45423</v>
      </c>
      <c r="B165" t="s">
        <v>97</v>
      </c>
      <c r="C165" t="s">
        <v>107</v>
      </c>
      <c r="D165" s="8">
        <v>172</v>
      </c>
    </row>
    <row r="166" spans="1:4" x14ac:dyDescent="0.45">
      <c r="A166" s="7">
        <v>45644</v>
      </c>
      <c r="B166" t="s">
        <v>97</v>
      </c>
      <c r="C166" t="s">
        <v>101</v>
      </c>
      <c r="D166" s="8">
        <v>113.44</v>
      </c>
    </row>
    <row r="167" spans="1:4" x14ac:dyDescent="0.45">
      <c r="A167" s="7">
        <v>46177</v>
      </c>
      <c r="B167" t="s">
        <v>97</v>
      </c>
      <c r="C167" t="s">
        <v>104</v>
      </c>
      <c r="D167" s="8">
        <v>494.84</v>
      </c>
    </row>
    <row r="168" spans="1:4" x14ac:dyDescent="0.45">
      <c r="A168" s="7">
        <v>45938</v>
      </c>
      <c r="B168" t="s">
        <v>95</v>
      </c>
      <c r="C168" t="s">
        <v>96</v>
      </c>
      <c r="D168" s="8">
        <v>-145.97</v>
      </c>
    </row>
    <row r="169" spans="1:4" x14ac:dyDescent="0.45">
      <c r="A169" s="7">
        <v>45917</v>
      </c>
      <c r="B169" t="s">
        <v>97</v>
      </c>
      <c r="C169" t="s">
        <v>107</v>
      </c>
      <c r="D169" s="8">
        <v>448.15</v>
      </c>
    </row>
    <row r="170" spans="1:4" x14ac:dyDescent="0.45">
      <c r="A170" s="7">
        <v>45408</v>
      </c>
      <c r="B170" t="s">
        <v>93</v>
      </c>
      <c r="C170" t="s">
        <v>106</v>
      </c>
      <c r="D170" s="8">
        <v>496.57</v>
      </c>
    </row>
    <row r="171" spans="1:4" x14ac:dyDescent="0.45">
      <c r="A171" s="7">
        <v>45925</v>
      </c>
      <c r="B171" t="s">
        <v>95</v>
      </c>
      <c r="C171" t="s">
        <v>96</v>
      </c>
      <c r="D171" s="8">
        <v>127.96</v>
      </c>
    </row>
    <row r="172" spans="1:4" x14ac:dyDescent="0.45">
      <c r="A172" s="7">
        <v>45458</v>
      </c>
      <c r="B172" t="s">
        <v>95</v>
      </c>
      <c r="C172" t="s">
        <v>108</v>
      </c>
      <c r="D172" s="8">
        <v>104.41</v>
      </c>
    </row>
    <row r="173" spans="1:4" x14ac:dyDescent="0.45">
      <c r="A173" s="7">
        <v>45651</v>
      </c>
      <c r="B173" t="s">
        <v>97</v>
      </c>
      <c r="C173" t="s">
        <v>107</v>
      </c>
      <c r="D173" s="8">
        <v>296.31</v>
      </c>
    </row>
    <row r="174" spans="1:4" x14ac:dyDescent="0.45">
      <c r="A174" s="7">
        <v>46006</v>
      </c>
      <c r="B174" t="s">
        <v>93</v>
      </c>
      <c r="C174" t="s">
        <v>94</v>
      </c>
      <c r="D174" s="8">
        <v>134.62</v>
      </c>
    </row>
    <row r="175" spans="1:4" x14ac:dyDescent="0.45">
      <c r="A175" s="7">
        <v>45749</v>
      </c>
      <c r="B175" t="s">
        <v>97</v>
      </c>
      <c r="C175" t="s">
        <v>101</v>
      </c>
      <c r="D175" s="8">
        <v>-22.47</v>
      </c>
    </row>
    <row r="176" spans="1:4" x14ac:dyDescent="0.45">
      <c r="A176" s="7">
        <v>45903</v>
      </c>
      <c r="B176" t="s">
        <v>93</v>
      </c>
      <c r="C176" t="s">
        <v>103</v>
      </c>
      <c r="D176" s="8">
        <v>221.26</v>
      </c>
    </row>
    <row r="177" spans="1:4" x14ac:dyDescent="0.45">
      <c r="A177" s="7">
        <v>45531</v>
      </c>
      <c r="B177" t="s">
        <v>97</v>
      </c>
      <c r="C177" t="s">
        <v>104</v>
      </c>
      <c r="D177" s="8">
        <v>-97.03</v>
      </c>
    </row>
    <row r="178" spans="1:4" x14ac:dyDescent="0.45">
      <c r="A178" s="7">
        <v>46089</v>
      </c>
      <c r="B178" t="s">
        <v>95</v>
      </c>
      <c r="C178" t="s">
        <v>109</v>
      </c>
      <c r="D178" s="8">
        <v>-124.05</v>
      </c>
    </row>
    <row r="179" spans="1:4" x14ac:dyDescent="0.45">
      <c r="A179" s="7">
        <v>45387</v>
      </c>
      <c r="B179" t="s">
        <v>93</v>
      </c>
      <c r="C179" t="s">
        <v>94</v>
      </c>
      <c r="D179" s="8">
        <v>330.64</v>
      </c>
    </row>
    <row r="180" spans="1:4" x14ac:dyDescent="0.45">
      <c r="A180" s="7">
        <v>46060</v>
      </c>
      <c r="B180" t="s">
        <v>97</v>
      </c>
      <c r="C180" t="s">
        <v>107</v>
      </c>
      <c r="D180" s="8">
        <v>333.39</v>
      </c>
    </row>
    <row r="181" spans="1:4" x14ac:dyDescent="0.45">
      <c r="A181" s="7">
        <v>45633</v>
      </c>
      <c r="B181" t="s">
        <v>95</v>
      </c>
      <c r="C181" t="s">
        <v>99</v>
      </c>
      <c r="D181" s="8">
        <v>62.49</v>
      </c>
    </row>
    <row r="182" spans="1:4" x14ac:dyDescent="0.45">
      <c r="A182" s="7">
        <v>45828</v>
      </c>
      <c r="B182" t="s">
        <v>97</v>
      </c>
      <c r="C182" t="s">
        <v>104</v>
      </c>
      <c r="D182" s="8">
        <v>496.15</v>
      </c>
    </row>
    <row r="183" spans="1:4" x14ac:dyDescent="0.45">
      <c r="A183" s="7">
        <v>45999</v>
      </c>
      <c r="B183" t="s">
        <v>93</v>
      </c>
      <c r="C183" t="s">
        <v>100</v>
      </c>
      <c r="D183" s="8">
        <v>473.33</v>
      </c>
    </row>
    <row r="184" spans="1:4" x14ac:dyDescent="0.45">
      <c r="A184" s="7">
        <v>45560</v>
      </c>
      <c r="B184" t="s">
        <v>95</v>
      </c>
      <c r="C184" t="s">
        <v>109</v>
      </c>
      <c r="D184" s="8">
        <v>10.71</v>
      </c>
    </row>
    <row r="185" spans="1:4" x14ac:dyDescent="0.45">
      <c r="A185" s="7">
        <v>45816</v>
      </c>
      <c r="B185" t="s">
        <v>95</v>
      </c>
      <c r="C185" t="s">
        <v>108</v>
      </c>
      <c r="D185" s="8">
        <v>256.08</v>
      </c>
    </row>
    <row r="186" spans="1:4" x14ac:dyDescent="0.45">
      <c r="A186" s="7">
        <v>45945</v>
      </c>
      <c r="B186" t="s">
        <v>93</v>
      </c>
      <c r="C186" t="s">
        <v>100</v>
      </c>
      <c r="D186" s="8">
        <v>114.87</v>
      </c>
    </row>
    <row r="187" spans="1:4" x14ac:dyDescent="0.45">
      <c r="A187" s="7">
        <v>45842</v>
      </c>
      <c r="B187" t="s">
        <v>93</v>
      </c>
      <c r="C187" t="s">
        <v>100</v>
      </c>
      <c r="D187" s="8">
        <v>358.7</v>
      </c>
    </row>
    <row r="188" spans="1:4" x14ac:dyDescent="0.45">
      <c r="A188" s="7">
        <v>46128</v>
      </c>
      <c r="B188" t="s">
        <v>97</v>
      </c>
      <c r="C188" t="s">
        <v>107</v>
      </c>
      <c r="D188" s="8">
        <v>272.5</v>
      </c>
    </row>
    <row r="189" spans="1:4" x14ac:dyDescent="0.45">
      <c r="A189" s="7">
        <v>45297</v>
      </c>
      <c r="B189" t="s">
        <v>93</v>
      </c>
      <c r="C189" t="s">
        <v>94</v>
      </c>
      <c r="D189" s="8">
        <v>95.72</v>
      </c>
    </row>
    <row r="190" spans="1:4" x14ac:dyDescent="0.45">
      <c r="A190" s="7">
        <v>45493</v>
      </c>
      <c r="B190" t="s">
        <v>95</v>
      </c>
      <c r="C190" t="s">
        <v>105</v>
      </c>
      <c r="D190" s="8">
        <v>234.46</v>
      </c>
    </row>
    <row r="191" spans="1:4" x14ac:dyDescent="0.45">
      <c r="A191" s="7">
        <v>45828</v>
      </c>
      <c r="B191" t="s">
        <v>95</v>
      </c>
      <c r="C191" t="s">
        <v>99</v>
      </c>
      <c r="D191" s="8">
        <v>192.85</v>
      </c>
    </row>
    <row r="192" spans="1:4" x14ac:dyDescent="0.45">
      <c r="A192" s="7">
        <v>45880</v>
      </c>
      <c r="B192" t="s">
        <v>95</v>
      </c>
      <c r="C192" t="s">
        <v>102</v>
      </c>
      <c r="D192" s="8">
        <v>122.67</v>
      </c>
    </row>
    <row r="193" spans="1:4" x14ac:dyDescent="0.45">
      <c r="A193" s="7">
        <v>46012</v>
      </c>
      <c r="B193" t="s">
        <v>97</v>
      </c>
      <c r="C193" t="s">
        <v>107</v>
      </c>
      <c r="D193" s="8">
        <v>455.71</v>
      </c>
    </row>
    <row r="194" spans="1:4" x14ac:dyDescent="0.45">
      <c r="A194" s="7">
        <v>45439</v>
      </c>
      <c r="B194" t="s">
        <v>95</v>
      </c>
      <c r="C194" t="s">
        <v>105</v>
      </c>
      <c r="D194" s="8">
        <v>53.56</v>
      </c>
    </row>
    <row r="195" spans="1:4" x14ac:dyDescent="0.45">
      <c r="A195" s="7">
        <v>46140</v>
      </c>
      <c r="B195" t="s">
        <v>97</v>
      </c>
      <c r="C195" t="s">
        <v>107</v>
      </c>
      <c r="D195" s="8">
        <v>-127.24</v>
      </c>
    </row>
    <row r="196" spans="1:4" x14ac:dyDescent="0.45">
      <c r="A196" s="7">
        <v>45812</v>
      </c>
      <c r="B196" t="s">
        <v>95</v>
      </c>
      <c r="C196" t="s">
        <v>102</v>
      </c>
      <c r="D196" s="8">
        <v>493.85</v>
      </c>
    </row>
    <row r="197" spans="1:4" x14ac:dyDescent="0.45">
      <c r="A197" s="7">
        <v>45450</v>
      </c>
      <c r="B197" t="s">
        <v>95</v>
      </c>
      <c r="C197" t="s">
        <v>96</v>
      </c>
      <c r="D197" s="8">
        <v>113.72</v>
      </c>
    </row>
    <row r="198" spans="1:4" x14ac:dyDescent="0.45">
      <c r="A198" s="7">
        <v>45867</v>
      </c>
      <c r="B198" t="s">
        <v>95</v>
      </c>
      <c r="C198" t="s">
        <v>99</v>
      </c>
      <c r="D198" s="8">
        <v>-97.5</v>
      </c>
    </row>
    <row r="199" spans="1:4" x14ac:dyDescent="0.45">
      <c r="A199" s="7">
        <v>46057</v>
      </c>
      <c r="B199" t="s">
        <v>97</v>
      </c>
      <c r="C199" t="s">
        <v>101</v>
      </c>
      <c r="D199" s="8">
        <v>406.26</v>
      </c>
    </row>
    <row r="200" spans="1:4" x14ac:dyDescent="0.45">
      <c r="A200" s="7">
        <v>45841</v>
      </c>
      <c r="B200" t="s">
        <v>93</v>
      </c>
      <c r="C200" t="s">
        <v>106</v>
      </c>
      <c r="D200" s="8">
        <v>424.07</v>
      </c>
    </row>
    <row r="201" spans="1:4" x14ac:dyDescent="0.45">
      <c r="A201" s="7">
        <v>46016</v>
      </c>
      <c r="B201" t="s">
        <v>97</v>
      </c>
      <c r="C201" t="s">
        <v>107</v>
      </c>
      <c r="D201" s="8">
        <v>-51.88</v>
      </c>
    </row>
    <row r="202" spans="1:4" x14ac:dyDescent="0.45">
      <c r="A202" s="7">
        <v>45862</v>
      </c>
      <c r="B202" t="s">
        <v>93</v>
      </c>
      <c r="C202" t="s">
        <v>103</v>
      </c>
      <c r="D202" s="8">
        <v>161.80000000000001</v>
      </c>
    </row>
    <row r="203" spans="1:4" x14ac:dyDescent="0.45">
      <c r="A203" s="7">
        <v>45538</v>
      </c>
      <c r="B203" t="s">
        <v>97</v>
      </c>
      <c r="C203" t="s">
        <v>98</v>
      </c>
      <c r="D203" s="8">
        <v>170.57</v>
      </c>
    </row>
    <row r="204" spans="1:4" x14ac:dyDescent="0.45">
      <c r="A204" s="7">
        <v>45549</v>
      </c>
      <c r="B204" t="s">
        <v>95</v>
      </c>
      <c r="C204" t="s">
        <v>108</v>
      </c>
      <c r="D204" s="8">
        <v>-81.44</v>
      </c>
    </row>
    <row r="205" spans="1:4" x14ac:dyDescent="0.45">
      <c r="A205" s="7">
        <v>45904</v>
      </c>
      <c r="B205" t="s">
        <v>95</v>
      </c>
      <c r="C205" t="s">
        <v>96</v>
      </c>
      <c r="D205" s="8">
        <v>-124</v>
      </c>
    </row>
    <row r="206" spans="1:4" x14ac:dyDescent="0.45">
      <c r="A206" s="7">
        <v>45678</v>
      </c>
      <c r="B206" t="s">
        <v>93</v>
      </c>
      <c r="C206" t="s">
        <v>100</v>
      </c>
      <c r="D206" s="8">
        <v>-34.29</v>
      </c>
    </row>
    <row r="207" spans="1:4" x14ac:dyDescent="0.45">
      <c r="A207" s="7">
        <v>45385</v>
      </c>
      <c r="B207" t="s">
        <v>93</v>
      </c>
      <c r="C207" t="s">
        <v>94</v>
      </c>
      <c r="D207" s="8">
        <v>-51.42</v>
      </c>
    </row>
    <row r="208" spans="1:4" x14ac:dyDescent="0.45">
      <c r="A208" s="7">
        <v>45399</v>
      </c>
      <c r="B208" t="s">
        <v>93</v>
      </c>
      <c r="C208" t="s">
        <v>94</v>
      </c>
      <c r="D208" s="8">
        <v>-34.72</v>
      </c>
    </row>
    <row r="209" spans="1:4" x14ac:dyDescent="0.45">
      <c r="A209" s="7">
        <v>46002</v>
      </c>
      <c r="B209" t="s">
        <v>93</v>
      </c>
      <c r="C209" t="s">
        <v>106</v>
      </c>
      <c r="D209" s="8">
        <v>339.69</v>
      </c>
    </row>
    <row r="210" spans="1:4" x14ac:dyDescent="0.45">
      <c r="A210" s="7">
        <v>45522</v>
      </c>
      <c r="B210" t="s">
        <v>97</v>
      </c>
      <c r="C210" t="s">
        <v>104</v>
      </c>
      <c r="D210" s="8">
        <v>55.68</v>
      </c>
    </row>
    <row r="211" spans="1:4" x14ac:dyDescent="0.45">
      <c r="A211" s="7">
        <v>46117</v>
      </c>
      <c r="B211" t="s">
        <v>97</v>
      </c>
      <c r="C211" t="s">
        <v>104</v>
      </c>
      <c r="D211" s="8">
        <v>69.34</v>
      </c>
    </row>
    <row r="212" spans="1:4" x14ac:dyDescent="0.45">
      <c r="A212" s="7">
        <v>45583</v>
      </c>
      <c r="B212" t="s">
        <v>95</v>
      </c>
      <c r="C212" t="s">
        <v>109</v>
      </c>
      <c r="D212" s="8">
        <v>104.71</v>
      </c>
    </row>
    <row r="213" spans="1:4" x14ac:dyDescent="0.45">
      <c r="A213" s="7">
        <v>45507</v>
      </c>
      <c r="B213" t="s">
        <v>97</v>
      </c>
      <c r="C213" t="s">
        <v>104</v>
      </c>
      <c r="D213" s="8">
        <v>59.6</v>
      </c>
    </row>
    <row r="214" spans="1:4" x14ac:dyDescent="0.45">
      <c r="A214" s="7">
        <v>45333</v>
      </c>
      <c r="B214" t="s">
        <v>93</v>
      </c>
      <c r="C214" t="s">
        <v>103</v>
      </c>
      <c r="D214" s="8">
        <v>-10.99</v>
      </c>
    </row>
    <row r="215" spans="1:4" x14ac:dyDescent="0.45">
      <c r="A215" s="7">
        <v>45746</v>
      </c>
      <c r="B215" t="s">
        <v>97</v>
      </c>
      <c r="C215" t="s">
        <v>104</v>
      </c>
      <c r="D215" s="8">
        <v>-44.49</v>
      </c>
    </row>
    <row r="216" spans="1:4" x14ac:dyDescent="0.45">
      <c r="A216" s="7">
        <v>45982</v>
      </c>
      <c r="B216" t="s">
        <v>93</v>
      </c>
      <c r="C216" t="s">
        <v>100</v>
      </c>
      <c r="D216" s="8">
        <v>61.17</v>
      </c>
    </row>
    <row r="217" spans="1:4" x14ac:dyDescent="0.45">
      <c r="A217" s="7">
        <v>45672</v>
      </c>
      <c r="B217" t="s">
        <v>93</v>
      </c>
      <c r="C217" t="s">
        <v>103</v>
      </c>
      <c r="D217" s="8">
        <v>362.4</v>
      </c>
    </row>
    <row r="218" spans="1:4" x14ac:dyDescent="0.45">
      <c r="A218" s="7">
        <v>45911</v>
      </c>
      <c r="B218" t="s">
        <v>95</v>
      </c>
      <c r="C218" t="s">
        <v>109</v>
      </c>
      <c r="D218" s="8">
        <v>269.12</v>
      </c>
    </row>
    <row r="219" spans="1:4" x14ac:dyDescent="0.45">
      <c r="A219" s="7">
        <v>45559</v>
      </c>
      <c r="B219" t="s">
        <v>95</v>
      </c>
      <c r="C219" t="s">
        <v>99</v>
      </c>
      <c r="D219" s="8">
        <v>475.22</v>
      </c>
    </row>
    <row r="220" spans="1:4" x14ac:dyDescent="0.45">
      <c r="A220" s="7">
        <v>45667</v>
      </c>
      <c r="B220" t="s">
        <v>95</v>
      </c>
      <c r="C220" t="s">
        <v>108</v>
      </c>
      <c r="D220" s="8">
        <v>478.01</v>
      </c>
    </row>
    <row r="221" spans="1:4" x14ac:dyDescent="0.45">
      <c r="A221" s="7">
        <v>46008</v>
      </c>
      <c r="B221" t="s">
        <v>95</v>
      </c>
      <c r="C221" t="s">
        <v>96</v>
      </c>
      <c r="D221" s="8">
        <v>205.05</v>
      </c>
    </row>
    <row r="222" spans="1:4" x14ac:dyDescent="0.45">
      <c r="A222" s="7">
        <v>45469</v>
      </c>
      <c r="B222" t="s">
        <v>95</v>
      </c>
      <c r="C222" t="s">
        <v>105</v>
      </c>
      <c r="D222" s="8">
        <v>187.64</v>
      </c>
    </row>
    <row r="223" spans="1:4" x14ac:dyDescent="0.45">
      <c r="A223" s="7">
        <v>45459</v>
      </c>
      <c r="B223" t="s">
        <v>93</v>
      </c>
      <c r="C223" t="s">
        <v>106</v>
      </c>
      <c r="D223" s="8">
        <v>278.48</v>
      </c>
    </row>
    <row r="224" spans="1:4" x14ac:dyDescent="0.45">
      <c r="A224" s="7">
        <v>46102</v>
      </c>
      <c r="B224" t="s">
        <v>93</v>
      </c>
      <c r="C224" t="s">
        <v>103</v>
      </c>
      <c r="D224" s="8">
        <v>469.21</v>
      </c>
    </row>
    <row r="225" spans="1:4" x14ac:dyDescent="0.45">
      <c r="A225" s="7">
        <v>45874</v>
      </c>
      <c r="B225" t="s">
        <v>93</v>
      </c>
      <c r="C225" t="s">
        <v>106</v>
      </c>
      <c r="D225" s="8">
        <v>102.38</v>
      </c>
    </row>
    <row r="226" spans="1:4" x14ac:dyDescent="0.45">
      <c r="A226" s="7">
        <v>45613</v>
      </c>
      <c r="B226" t="s">
        <v>93</v>
      </c>
      <c r="C226" t="s">
        <v>106</v>
      </c>
      <c r="D226" s="8">
        <v>100.94</v>
      </c>
    </row>
    <row r="227" spans="1:4" x14ac:dyDescent="0.45">
      <c r="A227" s="7">
        <v>45590</v>
      </c>
      <c r="B227" t="s">
        <v>93</v>
      </c>
      <c r="C227" t="s">
        <v>106</v>
      </c>
      <c r="D227" s="8">
        <v>14.75</v>
      </c>
    </row>
    <row r="228" spans="1:4" x14ac:dyDescent="0.45">
      <c r="A228" s="7">
        <v>46064</v>
      </c>
      <c r="B228" t="s">
        <v>97</v>
      </c>
      <c r="C228" t="s">
        <v>107</v>
      </c>
      <c r="D228" s="8">
        <v>390.09</v>
      </c>
    </row>
    <row r="229" spans="1:4" x14ac:dyDescent="0.45">
      <c r="A229" s="7">
        <v>45912</v>
      </c>
      <c r="B229" t="s">
        <v>95</v>
      </c>
      <c r="C229" t="s">
        <v>108</v>
      </c>
      <c r="D229" s="8">
        <v>34.64</v>
      </c>
    </row>
    <row r="230" spans="1:4" x14ac:dyDescent="0.45">
      <c r="A230" s="7">
        <v>45588</v>
      </c>
      <c r="B230" t="s">
        <v>97</v>
      </c>
      <c r="C230" t="s">
        <v>98</v>
      </c>
      <c r="D230" s="8">
        <v>-110.34</v>
      </c>
    </row>
    <row r="231" spans="1:4" x14ac:dyDescent="0.45">
      <c r="A231" s="7">
        <v>45867</v>
      </c>
      <c r="B231" t="s">
        <v>95</v>
      </c>
      <c r="C231" t="s">
        <v>96</v>
      </c>
      <c r="D231" s="8">
        <v>86.19</v>
      </c>
    </row>
    <row r="232" spans="1:4" x14ac:dyDescent="0.45">
      <c r="A232" s="7">
        <v>45720</v>
      </c>
      <c r="B232" t="s">
        <v>95</v>
      </c>
      <c r="C232" t="s">
        <v>108</v>
      </c>
      <c r="D232" s="8">
        <v>213.54</v>
      </c>
    </row>
    <row r="233" spans="1:4" x14ac:dyDescent="0.45">
      <c r="A233" s="7">
        <v>45362</v>
      </c>
      <c r="B233" t="s">
        <v>93</v>
      </c>
      <c r="C233" t="s">
        <v>103</v>
      </c>
      <c r="D233" s="8">
        <v>341.41</v>
      </c>
    </row>
    <row r="234" spans="1:4" x14ac:dyDescent="0.45">
      <c r="A234" s="7">
        <v>45986</v>
      </c>
      <c r="B234" t="s">
        <v>93</v>
      </c>
      <c r="C234" t="s">
        <v>100</v>
      </c>
      <c r="D234" s="8">
        <v>46.46</v>
      </c>
    </row>
    <row r="235" spans="1:4" x14ac:dyDescent="0.45">
      <c r="A235" s="7">
        <v>45650</v>
      </c>
      <c r="B235" t="s">
        <v>93</v>
      </c>
      <c r="C235" t="s">
        <v>100</v>
      </c>
      <c r="D235" s="8">
        <v>9.68</v>
      </c>
    </row>
    <row r="236" spans="1:4" x14ac:dyDescent="0.45">
      <c r="A236" s="7">
        <v>45517</v>
      </c>
      <c r="B236" t="s">
        <v>97</v>
      </c>
      <c r="C236" t="s">
        <v>98</v>
      </c>
      <c r="D236" s="8">
        <v>-77.42</v>
      </c>
    </row>
    <row r="237" spans="1:4" x14ac:dyDescent="0.45">
      <c r="A237" s="7">
        <v>45916</v>
      </c>
      <c r="B237" t="s">
        <v>95</v>
      </c>
      <c r="C237" t="s">
        <v>108</v>
      </c>
      <c r="D237" s="8">
        <v>147.12</v>
      </c>
    </row>
    <row r="238" spans="1:4" x14ac:dyDescent="0.45">
      <c r="A238" s="7">
        <v>46080</v>
      </c>
      <c r="B238" t="s">
        <v>93</v>
      </c>
      <c r="C238" t="s">
        <v>94</v>
      </c>
      <c r="D238" s="8">
        <v>170.71</v>
      </c>
    </row>
    <row r="239" spans="1:4" x14ac:dyDescent="0.45">
      <c r="A239" s="7">
        <v>45691</v>
      </c>
      <c r="B239" t="s">
        <v>97</v>
      </c>
      <c r="C239" t="s">
        <v>104</v>
      </c>
      <c r="D239" s="8">
        <v>265.91000000000003</v>
      </c>
    </row>
    <row r="240" spans="1:4" x14ac:dyDescent="0.45">
      <c r="A240" s="7">
        <v>46082</v>
      </c>
      <c r="B240" t="s">
        <v>97</v>
      </c>
      <c r="C240" t="s">
        <v>104</v>
      </c>
      <c r="D240" s="8">
        <v>452.04</v>
      </c>
    </row>
    <row r="241" spans="1:4" x14ac:dyDescent="0.45">
      <c r="A241" s="7">
        <v>45849</v>
      </c>
      <c r="B241" t="s">
        <v>95</v>
      </c>
      <c r="C241" t="s">
        <v>102</v>
      </c>
      <c r="D241" s="8">
        <v>307.26</v>
      </c>
    </row>
    <row r="242" spans="1:4" x14ac:dyDescent="0.45">
      <c r="A242" s="7">
        <v>45575</v>
      </c>
      <c r="B242" t="s">
        <v>93</v>
      </c>
      <c r="C242" t="s">
        <v>106</v>
      </c>
      <c r="D242" s="8">
        <v>283.94</v>
      </c>
    </row>
    <row r="243" spans="1:4" x14ac:dyDescent="0.45">
      <c r="A243" s="7">
        <v>46021</v>
      </c>
      <c r="B243" t="s">
        <v>95</v>
      </c>
      <c r="C243" t="s">
        <v>96</v>
      </c>
      <c r="D243" s="8">
        <v>15.5</v>
      </c>
    </row>
    <row r="244" spans="1:4" x14ac:dyDescent="0.45">
      <c r="A244" s="7">
        <v>45362</v>
      </c>
      <c r="B244" t="s">
        <v>95</v>
      </c>
      <c r="C244" t="s">
        <v>108</v>
      </c>
      <c r="D244" s="8">
        <v>230.44</v>
      </c>
    </row>
    <row r="245" spans="1:4" x14ac:dyDescent="0.45">
      <c r="A245" s="7">
        <v>45517</v>
      </c>
      <c r="B245" t="s">
        <v>93</v>
      </c>
      <c r="C245" t="s">
        <v>94</v>
      </c>
      <c r="D245" s="8">
        <v>201.23</v>
      </c>
    </row>
    <row r="246" spans="1:4" x14ac:dyDescent="0.45">
      <c r="A246" s="7">
        <v>45530</v>
      </c>
      <c r="B246" t="s">
        <v>95</v>
      </c>
      <c r="C246" t="s">
        <v>109</v>
      </c>
      <c r="D246" s="8">
        <v>308.13</v>
      </c>
    </row>
    <row r="247" spans="1:4" x14ac:dyDescent="0.45">
      <c r="A247" s="7">
        <v>45427</v>
      </c>
      <c r="B247" t="s">
        <v>95</v>
      </c>
      <c r="C247" t="s">
        <v>99</v>
      </c>
      <c r="D247" s="8">
        <v>439.81</v>
      </c>
    </row>
    <row r="248" spans="1:4" x14ac:dyDescent="0.45">
      <c r="A248" s="7">
        <v>45989</v>
      </c>
      <c r="B248" t="s">
        <v>93</v>
      </c>
      <c r="C248" t="s">
        <v>94</v>
      </c>
      <c r="D248" s="8">
        <v>162.44</v>
      </c>
    </row>
    <row r="249" spans="1:4" x14ac:dyDescent="0.45">
      <c r="A249" s="7">
        <v>45489</v>
      </c>
      <c r="B249" t="s">
        <v>93</v>
      </c>
      <c r="C249" t="s">
        <v>94</v>
      </c>
      <c r="D249" s="8">
        <v>449.16</v>
      </c>
    </row>
    <row r="250" spans="1:4" x14ac:dyDescent="0.45">
      <c r="A250" s="7">
        <v>45596</v>
      </c>
      <c r="B250" t="s">
        <v>93</v>
      </c>
      <c r="C250" t="s">
        <v>106</v>
      </c>
      <c r="D250" s="8">
        <v>357.43</v>
      </c>
    </row>
    <row r="251" spans="1:4" x14ac:dyDescent="0.45">
      <c r="A251" s="7">
        <v>45411</v>
      </c>
      <c r="B251" t="s">
        <v>93</v>
      </c>
      <c r="C251" t="s">
        <v>103</v>
      </c>
      <c r="D251" s="8">
        <v>173.17</v>
      </c>
    </row>
    <row r="252" spans="1:4" x14ac:dyDescent="0.45">
      <c r="A252" s="7">
        <v>45918</v>
      </c>
      <c r="B252" t="s">
        <v>93</v>
      </c>
      <c r="C252" t="s">
        <v>94</v>
      </c>
      <c r="D252" s="8">
        <v>-41.04</v>
      </c>
    </row>
    <row r="253" spans="1:4" x14ac:dyDescent="0.45">
      <c r="A253" s="7">
        <v>46017</v>
      </c>
      <c r="B253" t="s">
        <v>95</v>
      </c>
      <c r="C253" t="s">
        <v>109</v>
      </c>
      <c r="D253" s="8">
        <v>210.97</v>
      </c>
    </row>
    <row r="254" spans="1:4" x14ac:dyDescent="0.45">
      <c r="A254" s="7">
        <v>45853</v>
      </c>
      <c r="B254" t="s">
        <v>93</v>
      </c>
      <c r="C254" t="s">
        <v>94</v>
      </c>
      <c r="D254" s="8">
        <v>149.51</v>
      </c>
    </row>
    <row r="255" spans="1:4" x14ac:dyDescent="0.45">
      <c r="A255" s="7">
        <v>45788</v>
      </c>
      <c r="B255" t="s">
        <v>93</v>
      </c>
      <c r="C255" t="s">
        <v>103</v>
      </c>
      <c r="D255" s="8">
        <v>114.74</v>
      </c>
    </row>
    <row r="256" spans="1:4" x14ac:dyDescent="0.45">
      <c r="A256" s="7">
        <v>45771</v>
      </c>
      <c r="B256" t="s">
        <v>95</v>
      </c>
      <c r="C256" t="s">
        <v>96</v>
      </c>
      <c r="D256" s="8">
        <v>326.79000000000002</v>
      </c>
    </row>
    <row r="257" spans="1:4" x14ac:dyDescent="0.45">
      <c r="A257" s="7">
        <v>45303</v>
      </c>
      <c r="B257" t="s">
        <v>97</v>
      </c>
      <c r="C257" t="s">
        <v>107</v>
      </c>
      <c r="D257" s="8">
        <v>254.69</v>
      </c>
    </row>
    <row r="258" spans="1:4" x14ac:dyDescent="0.45">
      <c r="A258" s="7">
        <v>45528</v>
      </c>
      <c r="B258" t="s">
        <v>95</v>
      </c>
      <c r="C258" t="s">
        <v>102</v>
      </c>
      <c r="D258" s="8">
        <v>335.72</v>
      </c>
    </row>
    <row r="259" spans="1:4" x14ac:dyDescent="0.45">
      <c r="A259" s="7">
        <v>46041</v>
      </c>
      <c r="B259" t="s">
        <v>95</v>
      </c>
      <c r="C259" t="s">
        <v>108</v>
      </c>
      <c r="D259" s="8">
        <v>311.39999999999998</v>
      </c>
    </row>
    <row r="260" spans="1:4" x14ac:dyDescent="0.45">
      <c r="A260" s="7">
        <v>45489</v>
      </c>
      <c r="B260" t="s">
        <v>97</v>
      </c>
      <c r="C260" t="s">
        <v>101</v>
      </c>
      <c r="D260" s="8">
        <v>418.78</v>
      </c>
    </row>
    <row r="261" spans="1:4" x14ac:dyDescent="0.45">
      <c r="A261" s="7">
        <v>45534</v>
      </c>
      <c r="B261" t="s">
        <v>95</v>
      </c>
      <c r="C261" t="s">
        <v>99</v>
      </c>
      <c r="D261" s="8">
        <v>-109.17</v>
      </c>
    </row>
    <row r="262" spans="1:4" x14ac:dyDescent="0.45">
      <c r="A262" s="7">
        <v>45637</v>
      </c>
      <c r="B262" t="s">
        <v>95</v>
      </c>
      <c r="C262" t="s">
        <v>96</v>
      </c>
      <c r="D262" s="8">
        <v>207.8</v>
      </c>
    </row>
    <row r="263" spans="1:4" x14ac:dyDescent="0.45">
      <c r="A263" s="7">
        <v>45704</v>
      </c>
      <c r="B263" t="s">
        <v>95</v>
      </c>
      <c r="C263" t="s">
        <v>105</v>
      </c>
      <c r="D263" s="8">
        <v>122.82</v>
      </c>
    </row>
    <row r="264" spans="1:4" x14ac:dyDescent="0.45">
      <c r="A264" s="7">
        <v>45756</v>
      </c>
      <c r="B264" t="s">
        <v>93</v>
      </c>
      <c r="C264" t="s">
        <v>103</v>
      </c>
      <c r="D264" s="8">
        <v>47.32</v>
      </c>
    </row>
    <row r="265" spans="1:4" x14ac:dyDescent="0.45">
      <c r="A265" s="7">
        <v>45358</v>
      </c>
      <c r="B265" t="s">
        <v>93</v>
      </c>
      <c r="C265" t="s">
        <v>106</v>
      </c>
      <c r="D265" s="8">
        <v>-7.76</v>
      </c>
    </row>
    <row r="266" spans="1:4" x14ac:dyDescent="0.45">
      <c r="A266" s="7">
        <v>46036</v>
      </c>
      <c r="B266" t="s">
        <v>95</v>
      </c>
      <c r="C266" t="s">
        <v>96</v>
      </c>
      <c r="D266" s="8">
        <v>98.21</v>
      </c>
    </row>
    <row r="267" spans="1:4" x14ac:dyDescent="0.45">
      <c r="A267" s="7">
        <v>45358</v>
      </c>
      <c r="B267" t="s">
        <v>97</v>
      </c>
      <c r="C267" t="s">
        <v>98</v>
      </c>
      <c r="D267" s="8">
        <v>145.19999999999999</v>
      </c>
    </row>
    <row r="268" spans="1:4" x14ac:dyDescent="0.45">
      <c r="A268" s="7">
        <v>45455</v>
      </c>
      <c r="B268" t="s">
        <v>93</v>
      </c>
      <c r="C268" t="s">
        <v>106</v>
      </c>
      <c r="D268" s="8">
        <v>333.4</v>
      </c>
    </row>
    <row r="269" spans="1:4" x14ac:dyDescent="0.45">
      <c r="A269" s="7">
        <v>45373</v>
      </c>
      <c r="B269" t="s">
        <v>95</v>
      </c>
      <c r="C269" t="s">
        <v>108</v>
      </c>
      <c r="D269" s="8">
        <v>274.7</v>
      </c>
    </row>
    <row r="270" spans="1:4" x14ac:dyDescent="0.45">
      <c r="A270" s="7">
        <v>45618</v>
      </c>
      <c r="B270" t="s">
        <v>95</v>
      </c>
      <c r="C270" t="s">
        <v>105</v>
      </c>
      <c r="D270" s="8">
        <v>352.67</v>
      </c>
    </row>
    <row r="271" spans="1:4" x14ac:dyDescent="0.45">
      <c r="A271" s="7">
        <v>45404</v>
      </c>
      <c r="B271" t="s">
        <v>93</v>
      </c>
      <c r="C271" t="s">
        <v>94</v>
      </c>
      <c r="D271" s="8">
        <v>332.73</v>
      </c>
    </row>
    <row r="272" spans="1:4" x14ac:dyDescent="0.45">
      <c r="A272" s="7">
        <v>46143</v>
      </c>
      <c r="B272" t="s">
        <v>95</v>
      </c>
      <c r="C272" t="s">
        <v>108</v>
      </c>
      <c r="D272" s="8">
        <v>-17.95</v>
      </c>
    </row>
    <row r="273" spans="1:4" x14ac:dyDescent="0.45">
      <c r="A273" s="7">
        <v>45949</v>
      </c>
      <c r="B273" t="s">
        <v>95</v>
      </c>
      <c r="C273" t="s">
        <v>105</v>
      </c>
      <c r="D273" s="8">
        <v>-11.92</v>
      </c>
    </row>
    <row r="274" spans="1:4" x14ac:dyDescent="0.45">
      <c r="A274" s="7">
        <v>45648</v>
      </c>
      <c r="B274" t="s">
        <v>95</v>
      </c>
      <c r="C274" t="s">
        <v>109</v>
      </c>
      <c r="D274" s="8">
        <v>382.28</v>
      </c>
    </row>
    <row r="275" spans="1:4" x14ac:dyDescent="0.45">
      <c r="A275" s="7">
        <v>45358</v>
      </c>
      <c r="B275" t="s">
        <v>93</v>
      </c>
      <c r="C275" t="s">
        <v>106</v>
      </c>
      <c r="D275" s="8">
        <v>91.47</v>
      </c>
    </row>
    <row r="276" spans="1:4" x14ac:dyDescent="0.45">
      <c r="A276" s="7">
        <v>45582</v>
      </c>
      <c r="B276" t="s">
        <v>93</v>
      </c>
      <c r="C276" t="s">
        <v>100</v>
      </c>
      <c r="D276" s="8">
        <v>-29.04</v>
      </c>
    </row>
    <row r="277" spans="1:4" x14ac:dyDescent="0.45">
      <c r="A277" s="7">
        <v>45298</v>
      </c>
      <c r="B277" t="s">
        <v>95</v>
      </c>
      <c r="C277" t="s">
        <v>108</v>
      </c>
      <c r="D277" s="8">
        <v>102.77</v>
      </c>
    </row>
    <row r="278" spans="1:4" x14ac:dyDescent="0.45">
      <c r="A278" s="7">
        <v>45373</v>
      </c>
      <c r="B278" t="s">
        <v>95</v>
      </c>
      <c r="C278" t="s">
        <v>108</v>
      </c>
      <c r="D278" s="8">
        <v>-21.09</v>
      </c>
    </row>
    <row r="279" spans="1:4" x14ac:dyDescent="0.45">
      <c r="A279" s="7">
        <v>45702</v>
      </c>
      <c r="B279" t="s">
        <v>93</v>
      </c>
      <c r="C279" t="s">
        <v>94</v>
      </c>
      <c r="D279" s="8">
        <v>-41.11</v>
      </c>
    </row>
    <row r="280" spans="1:4" x14ac:dyDescent="0.45">
      <c r="A280" s="7">
        <v>46109</v>
      </c>
      <c r="B280" t="s">
        <v>95</v>
      </c>
      <c r="C280" t="s">
        <v>99</v>
      </c>
      <c r="D280" s="8">
        <v>-40.340000000000003</v>
      </c>
    </row>
    <row r="281" spans="1:4" x14ac:dyDescent="0.45">
      <c r="A281" s="7">
        <v>45782</v>
      </c>
      <c r="B281" t="s">
        <v>97</v>
      </c>
      <c r="C281" t="s">
        <v>98</v>
      </c>
      <c r="D281" s="8">
        <v>-37.28</v>
      </c>
    </row>
    <row r="282" spans="1:4" x14ac:dyDescent="0.45">
      <c r="A282" s="7">
        <v>45818</v>
      </c>
      <c r="B282" t="s">
        <v>93</v>
      </c>
      <c r="C282" t="s">
        <v>100</v>
      </c>
      <c r="D282" s="8">
        <v>271.14999999999998</v>
      </c>
    </row>
    <row r="283" spans="1:4" x14ac:dyDescent="0.45">
      <c r="A283" s="7">
        <v>45542</v>
      </c>
      <c r="B283" t="s">
        <v>95</v>
      </c>
      <c r="C283" t="s">
        <v>105</v>
      </c>
      <c r="D283" s="8">
        <v>167.22</v>
      </c>
    </row>
    <row r="284" spans="1:4" x14ac:dyDescent="0.45">
      <c r="A284" s="7">
        <v>45861</v>
      </c>
      <c r="B284" t="s">
        <v>93</v>
      </c>
      <c r="C284" t="s">
        <v>94</v>
      </c>
      <c r="D284" s="8">
        <v>213.31</v>
      </c>
    </row>
    <row r="285" spans="1:4" x14ac:dyDescent="0.45">
      <c r="A285" s="7">
        <v>45498</v>
      </c>
      <c r="B285" t="s">
        <v>95</v>
      </c>
      <c r="C285" t="s">
        <v>109</v>
      </c>
      <c r="D285" s="8">
        <v>309.88</v>
      </c>
    </row>
    <row r="286" spans="1:4" x14ac:dyDescent="0.45">
      <c r="A286" s="7">
        <v>45398</v>
      </c>
      <c r="B286" t="s">
        <v>97</v>
      </c>
      <c r="C286" t="s">
        <v>98</v>
      </c>
      <c r="D286" s="8">
        <v>141.31</v>
      </c>
    </row>
    <row r="287" spans="1:4" x14ac:dyDescent="0.45">
      <c r="A287" s="7">
        <v>45980</v>
      </c>
      <c r="B287" t="s">
        <v>95</v>
      </c>
      <c r="C287" t="s">
        <v>99</v>
      </c>
      <c r="D287" s="8">
        <v>211.54</v>
      </c>
    </row>
    <row r="288" spans="1:4" x14ac:dyDescent="0.45">
      <c r="A288" s="7">
        <v>45820</v>
      </c>
      <c r="B288" t="s">
        <v>95</v>
      </c>
      <c r="C288" t="s">
        <v>109</v>
      </c>
      <c r="D288" s="8">
        <v>258.88</v>
      </c>
    </row>
    <row r="289" spans="1:4" x14ac:dyDescent="0.45">
      <c r="A289" s="7">
        <v>45750</v>
      </c>
      <c r="B289" t="s">
        <v>97</v>
      </c>
      <c r="C289" t="s">
        <v>101</v>
      </c>
      <c r="D289" s="8">
        <v>169.88</v>
      </c>
    </row>
    <row r="290" spans="1:4" x14ac:dyDescent="0.45">
      <c r="A290" s="7">
        <v>45954</v>
      </c>
      <c r="B290" t="s">
        <v>95</v>
      </c>
      <c r="C290" t="s">
        <v>109</v>
      </c>
      <c r="D290" s="8">
        <v>322.97000000000003</v>
      </c>
    </row>
    <row r="291" spans="1:4" x14ac:dyDescent="0.45">
      <c r="A291" s="7">
        <v>46142</v>
      </c>
      <c r="B291" t="s">
        <v>97</v>
      </c>
      <c r="C291" t="s">
        <v>104</v>
      </c>
      <c r="D291" s="8">
        <v>-29.42</v>
      </c>
    </row>
    <row r="292" spans="1:4" x14ac:dyDescent="0.45">
      <c r="A292" s="7">
        <v>46118</v>
      </c>
      <c r="B292" t="s">
        <v>93</v>
      </c>
      <c r="C292" t="s">
        <v>106</v>
      </c>
      <c r="D292" s="8">
        <v>-5.0999999999999996</v>
      </c>
    </row>
    <row r="293" spans="1:4" x14ac:dyDescent="0.45">
      <c r="A293" s="7">
        <v>45612</v>
      </c>
      <c r="B293" t="s">
        <v>93</v>
      </c>
      <c r="C293" t="s">
        <v>100</v>
      </c>
      <c r="D293" s="8">
        <v>91.68</v>
      </c>
    </row>
    <row r="294" spans="1:4" x14ac:dyDescent="0.45">
      <c r="A294" s="7">
        <v>45783</v>
      </c>
      <c r="B294" t="s">
        <v>93</v>
      </c>
      <c r="C294" t="s">
        <v>94</v>
      </c>
      <c r="D294" s="8">
        <v>238.9</v>
      </c>
    </row>
    <row r="295" spans="1:4" x14ac:dyDescent="0.45">
      <c r="A295" s="7">
        <v>46169</v>
      </c>
      <c r="B295" t="s">
        <v>93</v>
      </c>
      <c r="C295" t="s">
        <v>106</v>
      </c>
      <c r="D295" s="8">
        <v>162.24</v>
      </c>
    </row>
    <row r="296" spans="1:4" x14ac:dyDescent="0.45">
      <c r="A296" s="7">
        <v>46082</v>
      </c>
      <c r="B296" t="s">
        <v>93</v>
      </c>
      <c r="C296" t="s">
        <v>103</v>
      </c>
      <c r="D296" s="8">
        <v>-94.87</v>
      </c>
    </row>
    <row r="297" spans="1:4" x14ac:dyDescent="0.45">
      <c r="A297" s="7">
        <v>45484</v>
      </c>
      <c r="B297" t="s">
        <v>93</v>
      </c>
      <c r="C297" t="s">
        <v>94</v>
      </c>
      <c r="D297" s="8">
        <v>49.41</v>
      </c>
    </row>
    <row r="298" spans="1:4" x14ac:dyDescent="0.45">
      <c r="A298" s="7">
        <v>45427</v>
      </c>
      <c r="B298" t="s">
        <v>95</v>
      </c>
      <c r="C298" t="s">
        <v>99</v>
      </c>
      <c r="D298" s="8">
        <v>390.77</v>
      </c>
    </row>
    <row r="299" spans="1:4" x14ac:dyDescent="0.45">
      <c r="A299" s="7">
        <v>45790</v>
      </c>
      <c r="B299" t="s">
        <v>95</v>
      </c>
      <c r="C299" t="s">
        <v>96</v>
      </c>
      <c r="D299" s="8">
        <v>263.05</v>
      </c>
    </row>
    <row r="300" spans="1:4" x14ac:dyDescent="0.45">
      <c r="A300" s="7">
        <v>45878</v>
      </c>
      <c r="B300" t="s">
        <v>97</v>
      </c>
      <c r="C300" t="s">
        <v>104</v>
      </c>
      <c r="D300" s="8">
        <v>322.02999999999997</v>
      </c>
    </row>
    <row r="301" spans="1:4" x14ac:dyDescent="0.45">
      <c r="A301" s="7">
        <v>45913</v>
      </c>
      <c r="B301" t="s">
        <v>97</v>
      </c>
      <c r="C301" t="s">
        <v>104</v>
      </c>
      <c r="D301" s="8">
        <v>179.61</v>
      </c>
    </row>
    <row r="302" spans="1:4" x14ac:dyDescent="0.45">
      <c r="A302" s="7">
        <v>45639</v>
      </c>
      <c r="B302" t="s">
        <v>97</v>
      </c>
      <c r="C302" t="s">
        <v>98</v>
      </c>
      <c r="D302" s="8">
        <v>-13.52</v>
      </c>
    </row>
    <row r="303" spans="1:4" x14ac:dyDescent="0.45">
      <c r="A303" s="7">
        <v>45432</v>
      </c>
      <c r="B303" t="s">
        <v>95</v>
      </c>
      <c r="C303" t="s">
        <v>96</v>
      </c>
      <c r="D303" s="8">
        <v>0.34</v>
      </c>
    </row>
    <row r="304" spans="1:4" x14ac:dyDescent="0.45">
      <c r="A304" s="7">
        <v>45728</v>
      </c>
      <c r="B304" t="s">
        <v>95</v>
      </c>
      <c r="C304" t="s">
        <v>96</v>
      </c>
      <c r="D304" s="8">
        <v>211.09</v>
      </c>
    </row>
    <row r="305" spans="1:4" x14ac:dyDescent="0.45">
      <c r="A305" s="7">
        <v>45822</v>
      </c>
      <c r="B305" t="s">
        <v>93</v>
      </c>
      <c r="C305" t="s">
        <v>100</v>
      </c>
      <c r="D305" s="8">
        <v>104.15</v>
      </c>
    </row>
    <row r="306" spans="1:4" x14ac:dyDescent="0.45">
      <c r="A306" s="7">
        <v>46075</v>
      </c>
      <c r="B306" t="s">
        <v>97</v>
      </c>
      <c r="C306" t="s">
        <v>104</v>
      </c>
      <c r="D306" s="8">
        <v>-18.059999999999999</v>
      </c>
    </row>
    <row r="307" spans="1:4" x14ac:dyDescent="0.45">
      <c r="A307" s="7">
        <v>46029</v>
      </c>
      <c r="B307" t="s">
        <v>97</v>
      </c>
      <c r="C307" t="s">
        <v>104</v>
      </c>
      <c r="D307" s="8">
        <v>50.58</v>
      </c>
    </row>
    <row r="308" spans="1:4" x14ac:dyDescent="0.45">
      <c r="A308" s="7">
        <v>45441</v>
      </c>
      <c r="B308" t="s">
        <v>95</v>
      </c>
      <c r="C308" t="s">
        <v>109</v>
      </c>
      <c r="D308" s="8">
        <v>160.79</v>
      </c>
    </row>
    <row r="309" spans="1:4" x14ac:dyDescent="0.45">
      <c r="A309" s="7">
        <v>45955</v>
      </c>
      <c r="B309" t="s">
        <v>97</v>
      </c>
      <c r="C309" t="s">
        <v>101</v>
      </c>
      <c r="D309" s="8">
        <v>-144.49</v>
      </c>
    </row>
    <row r="310" spans="1:4" x14ac:dyDescent="0.45">
      <c r="A310" s="7">
        <v>45590</v>
      </c>
      <c r="B310" t="s">
        <v>93</v>
      </c>
      <c r="C310" t="s">
        <v>106</v>
      </c>
      <c r="D310" s="8">
        <v>421.42</v>
      </c>
    </row>
    <row r="311" spans="1:4" x14ac:dyDescent="0.45">
      <c r="A311" s="7">
        <v>45627</v>
      </c>
      <c r="B311" t="s">
        <v>93</v>
      </c>
      <c r="C311" t="s">
        <v>103</v>
      </c>
      <c r="D311" s="8">
        <v>253.51</v>
      </c>
    </row>
    <row r="312" spans="1:4" x14ac:dyDescent="0.45">
      <c r="A312" s="7">
        <v>45682</v>
      </c>
      <c r="B312" t="s">
        <v>95</v>
      </c>
      <c r="C312" t="s">
        <v>108</v>
      </c>
      <c r="D312" s="8">
        <v>385.2</v>
      </c>
    </row>
    <row r="313" spans="1:4" x14ac:dyDescent="0.45">
      <c r="A313" s="7">
        <v>45802</v>
      </c>
      <c r="B313" t="s">
        <v>95</v>
      </c>
      <c r="C313" t="s">
        <v>109</v>
      </c>
      <c r="D313" s="8">
        <v>116.13</v>
      </c>
    </row>
    <row r="314" spans="1:4" x14ac:dyDescent="0.45">
      <c r="A314" s="7">
        <v>45437</v>
      </c>
      <c r="B314" t="s">
        <v>95</v>
      </c>
      <c r="C314" t="s">
        <v>108</v>
      </c>
      <c r="D314" s="8">
        <v>10.49</v>
      </c>
    </row>
    <row r="315" spans="1:4" x14ac:dyDescent="0.45">
      <c r="A315" s="7">
        <v>45926</v>
      </c>
      <c r="B315" t="s">
        <v>93</v>
      </c>
      <c r="C315" t="s">
        <v>106</v>
      </c>
      <c r="D315" s="8">
        <v>215.28</v>
      </c>
    </row>
    <row r="316" spans="1:4" x14ac:dyDescent="0.45">
      <c r="A316" s="7">
        <v>45810</v>
      </c>
      <c r="B316" t="s">
        <v>97</v>
      </c>
      <c r="C316" t="s">
        <v>107</v>
      </c>
      <c r="D316" s="8">
        <v>369.33</v>
      </c>
    </row>
    <row r="317" spans="1:4" x14ac:dyDescent="0.45">
      <c r="A317" s="7">
        <v>45868</v>
      </c>
      <c r="B317" t="s">
        <v>93</v>
      </c>
      <c r="C317" t="s">
        <v>106</v>
      </c>
      <c r="D317" s="8">
        <v>280.58</v>
      </c>
    </row>
    <row r="318" spans="1:4" x14ac:dyDescent="0.45">
      <c r="A318" s="7">
        <v>45621</v>
      </c>
      <c r="B318" t="s">
        <v>93</v>
      </c>
      <c r="C318" t="s">
        <v>106</v>
      </c>
      <c r="D318" s="8">
        <v>-148.37</v>
      </c>
    </row>
    <row r="319" spans="1:4" x14ac:dyDescent="0.45">
      <c r="A319" s="7">
        <v>45587</v>
      </c>
      <c r="B319" t="s">
        <v>95</v>
      </c>
      <c r="C319" t="s">
        <v>109</v>
      </c>
      <c r="D319" s="8">
        <v>99.81</v>
      </c>
    </row>
    <row r="320" spans="1:4" x14ac:dyDescent="0.45">
      <c r="A320" s="7">
        <v>45629</v>
      </c>
      <c r="B320" t="s">
        <v>95</v>
      </c>
      <c r="C320" t="s">
        <v>102</v>
      </c>
      <c r="D320" s="8">
        <v>269.61</v>
      </c>
    </row>
    <row r="321" spans="1:4" x14ac:dyDescent="0.45">
      <c r="A321" s="7">
        <v>45644</v>
      </c>
      <c r="B321" t="s">
        <v>93</v>
      </c>
      <c r="C321" t="s">
        <v>103</v>
      </c>
      <c r="D321" s="8">
        <v>222.06</v>
      </c>
    </row>
    <row r="322" spans="1:4" x14ac:dyDescent="0.45">
      <c r="A322" s="7">
        <v>45412</v>
      </c>
      <c r="B322" t="s">
        <v>95</v>
      </c>
      <c r="C322" t="s">
        <v>99</v>
      </c>
      <c r="D322" s="8">
        <v>398.71</v>
      </c>
    </row>
    <row r="323" spans="1:4" x14ac:dyDescent="0.45">
      <c r="A323" s="7">
        <v>45963</v>
      </c>
      <c r="B323" t="s">
        <v>97</v>
      </c>
      <c r="C323" t="s">
        <v>107</v>
      </c>
      <c r="D323" s="8">
        <v>4.9800000000000004</v>
      </c>
    </row>
    <row r="324" spans="1:4" x14ac:dyDescent="0.45">
      <c r="A324" s="7">
        <v>45682</v>
      </c>
      <c r="B324" t="s">
        <v>93</v>
      </c>
      <c r="C324" t="s">
        <v>94</v>
      </c>
      <c r="D324" s="8">
        <v>-41.21</v>
      </c>
    </row>
    <row r="325" spans="1:4" x14ac:dyDescent="0.45">
      <c r="A325" s="7">
        <v>45771</v>
      </c>
      <c r="B325" t="s">
        <v>97</v>
      </c>
      <c r="C325" t="s">
        <v>101</v>
      </c>
      <c r="D325" s="8">
        <v>159.19</v>
      </c>
    </row>
    <row r="326" spans="1:4" x14ac:dyDescent="0.45">
      <c r="A326" s="7">
        <v>45894</v>
      </c>
      <c r="B326" t="s">
        <v>93</v>
      </c>
      <c r="C326" t="s">
        <v>100</v>
      </c>
      <c r="D326" s="8">
        <v>-148.68</v>
      </c>
    </row>
    <row r="327" spans="1:4" x14ac:dyDescent="0.45">
      <c r="A327" s="7">
        <v>45426</v>
      </c>
      <c r="B327" t="s">
        <v>93</v>
      </c>
      <c r="C327" t="s">
        <v>94</v>
      </c>
      <c r="D327" s="8">
        <v>-0.56999999999999995</v>
      </c>
    </row>
    <row r="328" spans="1:4" x14ac:dyDescent="0.45">
      <c r="A328" s="7">
        <v>45874</v>
      </c>
      <c r="B328" t="s">
        <v>95</v>
      </c>
      <c r="C328" t="s">
        <v>96</v>
      </c>
      <c r="D328" s="8">
        <v>-27.45</v>
      </c>
    </row>
    <row r="329" spans="1:4" x14ac:dyDescent="0.45">
      <c r="A329" s="7">
        <v>45684</v>
      </c>
      <c r="B329" t="s">
        <v>93</v>
      </c>
      <c r="C329" t="s">
        <v>103</v>
      </c>
      <c r="D329" s="8">
        <v>24.93</v>
      </c>
    </row>
    <row r="330" spans="1:4" x14ac:dyDescent="0.45">
      <c r="A330" s="7">
        <v>45389</v>
      </c>
      <c r="B330" t="s">
        <v>97</v>
      </c>
      <c r="C330" t="s">
        <v>104</v>
      </c>
      <c r="D330" s="8">
        <v>185.4</v>
      </c>
    </row>
    <row r="331" spans="1:4" x14ac:dyDescent="0.45">
      <c r="A331" s="7">
        <v>45293</v>
      </c>
      <c r="B331" t="s">
        <v>93</v>
      </c>
      <c r="C331" t="s">
        <v>94</v>
      </c>
      <c r="D331" s="8">
        <v>146.29</v>
      </c>
    </row>
    <row r="332" spans="1:4" x14ac:dyDescent="0.45">
      <c r="A332" s="7">
        <v>45490</v>
      </c>
      <c r="B332" t="s">
        <v>95</v>
      </c>
      <c r="C332" t="s">
        <v>102</v>
      </c>
      <c r="D332" s="8">
        <v>462.27</v>
      </c>
    </row>
    <row r="333" spans="1:4" x14ac:dyDescent="0.45">
      <c r="A333" s="7">
        <v>46075</v>
      </c>
      <c r="B333" t="s">
        <v>97</v>
      </c>
      <c r="C333" t="s">
        <v>104</v>
      </c>
      <c r="D333" s="8">
        <v>361.89</v>
      </c>
    </row>
    <row r="334" spans="1:4" x14ac:dyDescent="0.45">
      <c r="A334" s="7">
        <v>45491</v>
      </c>
      <c r="B334" t="s">
        <v>95</v>
      </c>
      <c r="C334" t="s">
        <v>105</v>
      </c>
      <c r="D334" s="8">
        <v>-113.37</v>
      </c>
    </row>
    <row r="335" spans="1:4" x14ac:dyDescent="0.45">
      <c r="A335" s="7">
        <v>45540</v>
      </c>
      <c r="B335" t="s">
        <v>95</v>
      </c>
      <c r="C335" t="s">
        <v>109</v>
      </c>
      <c r="D335" s="8">
        <v>447.79</v>
      </c>
    </row>
    <row r="336" spans="1:4" x14ac:dyDescent="0.45">
      <c r="A336" s="7">
        <v>45925</v>
      </c>
      <c r="B336" t="s">
        <v>97</v>
      </c>
      <c r="C336" t="s">
        <v>101</v>
      </c>
      <c r="D336" s="8">
        <v>-107.27</v>
      </c>
    </row>
    <row r="337" spans="1:4" x14ac:dyDescent="0.45">
      <c r="A337" s="7">
        <v>45530</v>
      </c>
      <c r="B337" t="s">
        <v>95</v>
      </c>
      <c r="C337" t="s">
        <v>96</v>
      </c>
      <c r="D337" s="8">
        <v>104.91</v>
      </c>
    </row>
    <row r="338" spans="1:4" x14ac:dyDescent="0.45">
      <c r="A338" s="7">
        <v>45662</v>
      </c>
      <c r="B338" t="s">
        <v>93</v>
      </c>
      <c r="C338" t="s">
        <v>103</v>
      </c>
      <c r="D338" s="8">
        <v>401.11</v>
      </c>
    </row>
    <row r="339" spans="1:4" x14ac:dyDescent="0.45">
      <c r="A339" s="7">
        <v>45631</v>
      </c>
      <c r="B339" t="s">
        <v>93</v>
      </c>
      <c r="C339" t="s">
        <v>103</v>
      </c>
      <c r="D339" s="8">
        <v>395.56</v>
      </c>
    </row>
    <row r="340" spans="1:4" x14ac:dyDescent="0.45">
      <c r="A340" s="7">
        <v>45664</v>
      </c>
      <c r="B340" t="s">
        <v>97</v>
      </c>
      <c r="C340" t="s">
        <v>104</v>
      </c>
      <c r="D340" s="8">
        <v>417.83</v>
      </c>
    </row>
    <row r="341" spans="1:4" x14ac:dyDescent="0.45">
      <c r="A341" s="7">
        <v>45760</v>
      </c>
      <c r="B341" t="s">
        <v>95</v>
      </c>
      <c r="C341" t="s">
        <v>99</v>
      </c>
      <c r="D341" s="8">
        <v>459.8</v>
      </c>
    </row>
    <row r="342" spans="1:4" x14ac:dyDescent="0.45">
      <c r="A342" s="7">
        <v>45970</v>
      </c>
      <c r="B342" t="s">
        <v>95</v>
      </c>
      <c r="C342" t="s">
        <v>102</v>
      </c>
      <c r="D342" s="8">
        <v>-141.09</v>
      </c>
    </row>
    <row r="343" spans="1:4" x14ac:dyDescent="0.45">
      <c r="A343" s="7">
        <v>45501</v>
      </c>
      <c r="B343" t="s">
        <v>95</v>
      </c>
      <c r="C343" t="s">
        <v>108</v>
      </c>
      <c r="D343" s="8">
        <v>80.94</v>
      </c>
    </row>
    <row r="344" spans="1:4" x14ac:dyDescent="0.45">
      <c r="A344" s="7">
        <v>45604</v>
      </c>
      <c r="B344" t="s">
        <v>93</v>
      </c>
      <c r="C344" t="s">
        <v>103</v>
      </c>
      <c r="D344" s="8">
        <v>460.43</v>
      </c>
    </row>
    <row r="345" spans="1:4" x14ac:dyDescent="0.45">
      <c r="A345" s="7">
        <v>45986</v>
      </c>
      <c r="B345" t="s">
        <v>97</v>
      </c>
      <c r="C345" t="s">
        <v>98</v>
      </c>
      <c r="D345" s="8">
        <v>5.49</v>
      </c>
    </row>
    <row r="346" spans="1:4" x14ac:dyDescent="0.45">
      <c r="A346" s="7">
        <v>45541</v>
      </c>
      <c r="B346" t="s">
        <v>93</v>
      </c>
      <c r="C346" t="s">
        <v>103</v>
      </c>
      <c r="D346" s="8">
        <v>129.59</v>
      </c>
    </row>
    <row r="347" spans="1:4" x14ac:dyDescent="0.45">
      <c r="A347" s="7">
        <v>45345</v>
      </c>
      <c r="B347" t="s">
        <v>97</v>
      </c>
      <c r="C347" t="s">
        <v>98</v>
      </c>
      <c r="D347" s="8">
        <v>211.31</v>
      </c>
    </row>
    <row r="348" spans="1:4" x14ac:dyDescent="0.45">
      <c r="A348" s="7">
        <v>45778</v>
      </c>
      <c r="B348" t="s">
        <v>97</v>
      </c>
      <c r="C348" t="s">
        <v>107</v>
      </c>
      <c r="D348" s="8">
        <v>100.29</v>
      </c>
    </row>
    <row r="349" spans="1:4" x14ac:dyDescent="0.45">
      <c r="A349" s="7">
        <v>45947</v>
      </c>
      <c r="B349" t="s">
        <v>97</v>
      </c>
      <c r="C349" t="s">
        <v>101</v>
      </c>
      <c r="D349" s="8">
        <v>-84.94</v>
      </c>
    </row>
    <row r="350" spans="1:4" x14ac:dyDescent="0.45">
      <c r="A350" s="7">
        <v>45961</v>
      </c>
      <c r="B350" t="s">
        <v>95</v>
      </c>
      <c r="C350" t="s">
        <v>99</v>
      </c>
      <c r="D350" s="8">
        <v>-43.54</v>
      </c>
    </row>
    <row r="351" spans="1:4" x14ac:dyDescent="0.45">
      <c r="A351" s="7">
        <v>45391</v>
      </c>
      <c r="B351" t="s">
        <v>93</v>
      </c>
      <c r="C351" t="s">
        <v>100</v>
      </c>
      <c r="D351" s="8">
        <v>178.5</v>
      </c>
    </row>
    <row r="352" spans="1:4" x14ac:dyDescent="0.45">
      <c r="A352" s="7">
        <v>45534</v>
      </c>
      <c r="B352" t="s">
        <v>97</v>
      </c>
      <c r="C352" t="s">
        <v>101</v>
      </c>
      <c r="D352" s="8">
        <v>27.14</v>
      </c>
    </row>
    <row r="353" spans="1:4" x14ac:dyDescent="0.45">
      <c r="A353" s="7">
        <v>45618</v>
      </c>
      <c r="B353" t="s">
        <v>95</v>
      </c>
      <c r="C353" t="s">
        <v>108</v>
      </c>
      <c r="D353" s="8">
        <v>12.59</v>
      </c>
    </row>
    <row r="354" spans="1:4" x14ac:dyDescent="0.45">
      <c r="A354" s="7">
        <v>46140</v>
      </c>
      <c r="B354" t="s">
        <v>93</v>
      </c>
      <c r="C354" t="s">
        <v>100</v>
      </c>
      <c r="D354" s="8">
        <v>328.15</v>
      </c>
    </row>
    <row r="355" spans="1:4" x14ac:dyDescent="0.45">
      <c r="A355" s="7">
        <v>45933</v>
      </c>
      <c r="B355" t="s">
        <v>93</v>
      </c>
      <c r="C355" t="s">
        <v>106</v>
      </c>
      <c r="D355" s="8">
        <v>105.4</v>
      </c>
    </row>
    <row r="356" spans="1:4" x14ac:dyDescent="0.45">
      <c r="A356" s="7">
        <v>45908</v>
      </c>
      <c r="B356" t="s">
        <v>95</v>
      </c>
      <c r="C356" t="s">
        <v>108</v>
      </c>
      <c r="D356" s="8">
        <v>-31.36</v>
      </c>
    </row>
    <row r="357" spans="1:4" x14ac:dyDescent="0.45">
      <c r="A357" s="7">
        <v>45388</v>
      </c>
      <c r="B357" t="s">
        <v>97</v>
      </c>
      <c r="C357" t="s">
        <v>104</v>
      </c>
      <c r="D357" s="8">
        <v>100.41</v>
      </c>
    </row>
    <row r="358" spans="1:4" x14ac:dyDescent="0.45">
      <c r="A358" s="7">
        <v>46089</v>
      </c>
      <c r="B358" t="s">
        <v>93</v>
      </c>
      <c r="C358" t="s">
        <v>100</v>
      </c>
      <c r="D358" s="8">
        <v>248.22</v>
      </c>
    </row>
    <row r="359" spans="1:4" x14ac:dyDescent="0.45">
      <c r="A359" s="7">
        <v>45872</v>
      </c>
      <c r="B359" t="s">
        <v>93</v>
      </c>
      <c r="C359" t="s">
        <v>100</v>
      </c>
      <c r="D359" s="8">
        <v>222.43</v>
      </c>
    </row>
    <row r="360" spans="1:4" x14ac:dyDescent="0.45">
      <c r="A360" s="7">
        <v>45776</v>
      </c>
      <c r="B360" t="s">
        <v>97</v>
      </c>
      <c r="C360" t="s">
        <v>104</v>
      </c>
      <c r="D360" s="8">
        <v>335.31</v>
      </c>
    </row>
    <row r="361" spans="1:4" x14ac:dyDescent="0.45">
      <c r="A361" s="7">
        <v>45626</v>
      </c>
      <c r="B361" t="s">
        <v>97</v>
      </c>
      <c r="C361" t="s">
        <v>98</v>
      </c>
      <c r="D361" s="8">
        <v>-101.25</v>
      </c>
    </row>
    <row r="362" spans="1:4" x14ac:dyDescent="0.45">
      <c r="A362" s="7">
        <v>45662</v>
      </c>
      <c r="B362" t="s">
        <v>95</v>
      </c>
      <c r="C362" t="s">
        <v>96</v>
      </c>
      <c r="D362" s="8">
        <v>4.84</v>
      </c>
    </row>
    <row r="363" spans="1:4" x14ac:dyDescent="0.45">
      <c r="A363" s="7">
        <v>45426</v>
      </c>
      <c r="B363" t="s">
        <v>95</v>
      </c>
      <c r="C363" t="s">
        <v>108</v>
      </c>
      <c r="D363" s="8">
        <v>-29.92</v>
      </c>
    </row>
    <row r="364" spans="1:4" x14ac:dyDescent="0.45">
      <c r="A364" s="7">
        <v>45930</v>
      </c>
      <c r="B364" t="s">
        <v>97</v>
      </c>
      <c r="C364" t="s">
        <v>104</v>
      </c>
      <c r="D364" s="8">
        <v>190.87</v>
      </c>
    </row>
    <row r="365" spans="1:4" x14ac:dyDescent="0.45">
      <c r="A365" s="7">
        <v>46074</v>
      </c>
      <c r="B365" t="s">
        <v>97</v>
      </c>
      <c r="C365" t="s">
        <v>98</v>
      </c>
      <c r="D365" s="8">
        <v>302.87</v>
      </c>
    </row>
    <row r="366" spans="1:4" x14ac:dyDescent="0.45">
      <c r="A366" s="7">
        <v>46056</v>
      </c>
      <c r="B366" t="s">
        <v>95</v>
      </c>
      <c r="C366" t="s">
        <v>102</v>
      </c>
      <c r="D366" s="8">
        <v>99.45</v>
      </c>
    </row>
    <row r="367" spans="1:4" x14ac:dyDescent="0.45">
      <c r="A367" s="7">
        <v>45297</v>
      </c>
      <c r="B367" t="s">
        <v>93</v>
      </c>
      <c r="C367" t="s">
        <v>106</v>
      </c>
      <c r="D367" s="8">
        <v>193.7</v>
      </c>
    </row>
    <row r="368" spans="1:4" x14ac:dyDescent="0.45">
      <c r="A368" s="7">
        <v>45895</v>
      </c>
      <c r="B368" t="s">
        <v>93</v>
      </c>
      <c r="C368" t="s">
        <v>106</v>
      </c>
      <c r="D368" s="8">
        <v>-60.8</v>
      </c>
    </row>
    <row r="369" spans="1:4" x14ac:dyDescent="0.45">
      <c r="A369" s="7">
        <v>45437</v>
      </c>
      <c r="B369" t="s">
        <v>95</v>
      </c>
      <c r="C369" t="s">
        <v>102</v>
      </c>
      <c r="D369" s="8">
        <v>134.52000000000001</v>
      </c>
    </row>
    <row r="370" spans="1:4" x14ac:dyDescent="0.45">
      <c r="A370" s="7">
        <v>45649</v>
      </c>
      <c r="B370" t="s">
        <v>95</v>
      </c>
      <c r="C370" t="s">
        <v>96</v>
      </c>
      <c r="D370" s="8">
        <v>-90.61</v>
      </c>
    </row>
    <row r="371" spans="1:4" x14ac:dyDescent="0.45">
      <c r="A371" s="7">
        <v>45668</v>
      </c>
      <c r="B371" t="s">
        <v>95</v>
      </c>
      <c r="C371" t="s">
        <v>108</v>
      </c>
      <c r="D371" s="8">
        <v>155.29</v>
      </c>
    </row>
    <row r="372" spans="1:4" x14ac:dyDescent="0.45">
      <c r="A372" s="7">
        <v>45550</v>
      </c>
      <c r="B372" t="s">
        <v>97</v>
      </c>
      <c r="C372" t="s">
        <v>101</v>
      </c>
      <c r="D372" s="8">
        <v>-79.790000000000006</v>
      </c>
    </row>
    <row r="373" spans="1:4" x14ac:dyDescent="0.45">
      <c r="A373" s="7">
        <v>46002</v>
      </c>
      <c r="B373" t="s">
        <v>95</v>
      </c>
      <c r="C373" t="s">
        <v>99</v>
      </c>
      <c r="D373" s="8">
        <v>126.99</v>
      </c>
    </row>
    <row r="374" spans="1:4" x14ac:dyDescent="0.45">
      <c r="A374" s="7">
        <v>45833</v>
      </c>
      <c r="B374" t="s">
        <v>97</v>
      </c>
      <c r="C374" t="s">
        <v>98</v>
      </c>
      <c r="D374" s="8">
        <v>386.09</v>
      </c>
    </row>
    <row r="375" spans="1:4" x14ac:dyDescent="0.45">
      <c r="A375" s="7">
        <v>46146</v>
      </c>
      <c r="B375" t="s">
        <v>93</v>
      </c>
      <c r="C375" t="s">
        <v>100</v>
      </c>
      <c r="D375" s="8">
        <v>102.12</v>
      </c>
    </row>
    <row r="376" spans="1:4" x14ac:dyDescent="0.45">
      <c r="A376" s="7">
        <v>45560</v>
      </c>
      <c r="B376" t="s">
        <v>93</v>
      </c>
      <c r="C376" t="s">
        <v>94</v>
      </c>
      <c r="D376" s="8">
        <v>418.47</v>
      </c>
    </row>
    <row r="377" spans="1:4" x14ac:dyDescent="0.45">
      <c r="A377" s="7">
        <v>45672</v>
      </c>
      <c r="B377" t="s">
        <v>95</v>
      </c>
      <c r="C377" t="s">
        <v>109</v>
      </c>
      <c r="D377" s="8">
        <v>5.55</v>
      </c>
    </row>
    <row r="378" spans="1:4" x14ac:dyDescent="0.45">
      <c r="A378" s="7">
        <v>45555</v>
      </c>
      <c r="B378" t="s">
        <v>95</v>
      </c>
      <c r="C378" t="s">
        <v>105</v>
      </c>
      <c r="D378" s="8">
        <v>153.44</v>
      </c>
    </row>
    <row r="379" spans="1:4" x14ac:dyDescent="0.45">
      <c r="A379" s="7">
        <v>46090</v>
      </c>
      <c r="B379" t="s">
        <v>97</v>
      </c>
      <c r="C379" t="s">
        <v>101</v>
      </c>
      <c r="D379" s="8">
        <v>320.77</v>
      </c>
    </row>
    <row r="380" spans="1:4" x14ac:dyDescent="0.45">
      <c r="A380" s="7">
        <v>45680</v>
      </c>
      <c r="B380" t="s">
        <v>93</v>
      </c>
      <c r="C380" t="s">
        <v>103</v>
      </c>
      <c r="D380" s="8">
        <v>187.02</v>
      </c>
    </row>
    <row r="381" spans="1:4" x14ac:dyDescent="0.45">
      <c r="A381" s="7">
        <v>45422</v>
      </c>
      <c r="B381" t="s">
        <v>97</v>
      </c>
      <c r="C381" t="s">
        <v>98</v>
      </c>
      <c r="D381" s="8">
        <v>288.70999999999998</v>
      </c>
    </row>
    <row r="382" spans="1:4" x14ac:dyDescent="0.45">
      <c r="A382" s="7">
        <v>45362</v>
      </c>
      <c r="B382" t="s">
        <v>93</v>
      </c>
      <c r="C382" t="s">
        <v>103</v>
      </c>
      <c r="D382" s="8">
        <v>236.53</v>
      </c>
    </row>
    <row r="383" spans="1:4" x14ac:dyDescent="0.45">
      <c r="A383" s="7">
        <v>45456</v>
      </c>
      <c r="B383" t="s">
        <v>97</v>
      </c>
      <c r="C383" t="s">
        <v>98</v>
      </c>
      <c r="D383" s="8">
        <v>100.03</v>
      </c>
    </row>
    <row r="384" spans="1:4" x14ac:dyDescent="0.45">
      <c r="A384" s="7">
        <v>45937</v>
      </c>
      <c r="B384" t="s">
        <v>95</v>
      </c>
      <c r="C384" t="s">
        <v>108</v>
      </c>
      <c r="D384" s="8">
        <v>466.34</v>
      </c>
    </row>
    <row r="385" spans="1:4" x14ac:dyDescent="0.45">
      <c r="A385" s="7">
        <v>45943</v>
      </c>
      <c r="B385" t="s">
        <v>97</v>
      </c>
      <c r="C385" t="s">
        <v>107</v>
      </c>
      <c r="D385" s="8">
        <v>91.82</v>
      </c>
    </row>
    <row r="386" spans="1:4" x14ac:dyDescent="0.45">
      <c r="A386" s="7">
        <v>45590</v>
      </c>
      <c r="B386" t="s">
        <v>93</v>
      </c>
      <c r="C386" t="s">
        <v>100</v>
      </c>
      <c r="D386" s="8">
        <v>338.99</v>
      </c>
    </row>
    <row r="387" spans="1:4" x14ac:dyDescent="0.45">
      <c r="A387" s="7">
        <v>45920</v>
      </c>
      <c r="B387" t="s">
        <v>97</v>
      </c>
      <c r="C387" t="s">
        <v>107</v>
      </c>
      <c r="D387" s="8">
        <v>204.87</v>
      </c>
    </row>
    <row r="388" spans="1:4" x14ac:dyDescent="0.45">
      <c r="A388" s="7">
        <v>45617</v>
      </c>
      <c r="B388" t="s">
        <v>93</v>
      </c>
      <c r="C388" t="s">
        <v>106</v>
      </c>
      <c r="D388" s="8">
        <v>-91.8</v>
      </c>
    </row>
    <row r="389" spans="1:4" x14ac:dyDescent="0.45">
      <c r="A389" s="7">
        <v>45647</v>
      </c>
      <c r="B389" t="s">
        <v>93</v>
      </c>
      <c r="C389" t="s">
        <v>100</v>
      </c>
      <c r="D389" s="8">
        <v>225.75</v>
      </c>
    </row>
    <row r="390" spans="1:4" x14ac:dyDescent="0.45">
      <c r="A390" s="7">
        <v>45982</v>
      </c>
      <c r="B390" t="s">
        <v>95</v>
      </c>
      <c r="C390" t="s">
        <v>99</v>
      </c>
      <c r="D390" s="8">
        <v>362.95</v>
      </c>
    </row>
    <row r="391" spans="1:4" x14ac:dyDescent="0.45">
      <c r="A391" s="7">
        <v>45597</v>
      </c>
      <c r="B391" t="s">
        <v>93</v>
      </c>
      <c r="C391" t="s">
        <v>106</v>
      </c>
      <c r="D391" s="8">
        <v>497.56</v>
      </c>
    </row>
    <row r="392" spans="1:4" x14ac:dyDescent="0.45">
      <c r="A392" s="7">
        <v>45372</v>
      </c>
      <c r="B392" t="s">
        <v>95</v>
      </c>
      <c r="C392" t="s">
        <v>105</v>
      </c>
      <c r="D392" s="8">
        <v>167.07</v>
      </c>
    </row>
    <row r="393" spans="1:4" x14ac:dyDescent="0.45">
      <c r="A393" s="7">
        <v>45861</v>
      </c>
      <c r="B393" t="s">
        <v>97</v>
      </c>
      <c r="C393" t="s">
        <v>107</v>
      </c>
      <c r="D393" s="8">
        <v>-71.52</v>
      </c>
    </row>
    <row r="394" spans="1:4" x14ac:dyDescent="0.45">
      <c r="A394" s="7">
        <v>45388</v>
      </c>
      <c r="B394" t="s">
        <v>93</v>
      </c>
      <c r="C394" t="s">
        <v>103</v>
      </c>
      <c r="D394" s="8">
        <v>239.37</v>
      </c>
    </row>
    <row r="395" spans="1:4" x14ac:dyDescent="0.45">
      <c r="A395" s="7">
        <v>46166</v>
      </c>
      <c r="B395" t="s">
        <v>93</v>
      </c>
      <c r="C395" t="s">
        <v>103</v>
      </c>
      <c r="D395" s="8">
        <v>365.66</v>
      </c>
    </row>
    <row r="396" spans="1:4" x14ac:dyDescent="0.45">
      <c r="A396" s="7">
        <v>45634</v>
      </c>
      <c r="B396" t="s">
        <v>97</v>
      </c>
      <c r="C396" t="s">
        <v>107</v>
      </c>
      <c r="D396" s="8">
        <v>220.32</v>
      </c>
    </row>
    <row r="397" spans="1:4" x14ac:dyDescent="0.45">
      <c r="A397" s="7">
        <v>45897</v>
      </c>
      <c r="B397" t="s">
        <v>95</v>
      </c>
      <c r="C397" t="s">
        <v>105</v>
      </c>
      <c r="D397" s="8">
        <v>494.64</v>
      </c>
    </row>
    <row r="398" spans="1:4" x14ac:dyDescent="0.45">
      <c r="A398" s="7">
        <v>45967</v>
      </c>
      <c r="B398" t="s">
        <v>93</v>
      </c>
      <c r="C398" t="s">
        <v>100</v>
      </c>
      <c r="D398" s="8">
        <v>434.44</v>
      </c>
    </row>
    <row r="399" spans="1:4" x14ac:dyDescent="0.45">
      <c r="A399" s="7">
        <v>45570</v>
      </c>
      <c r="B399" t="s">
        <v>93</v>
      </c>
      <c r="C399" t="s">
        <v>100</v>
      </c>
      <c r="D399" s="8">
        <v>449.42</v>
      </c>
    </row>
    <row r="400" spans="1:4" x14ac:dyDescent="0.45">
      <c r="A400" s="7">
        <v>45546</v>
      </c>
      <c r="B400" t="s">
        <v>97</v>
      </c>
      <c r="C400" t="s">
        <v>101</v>
      </c>
      <c r="D400" s="8">
        <v>381.73</v>
      </c>
    </row>
    <row r="401" spans="1:4" x14ac:dyDescent="0.45">
      <c r="A401" s="7">
        <v>45811</v>
      </c>
      <c r="B401" t="s">
        <v>93</v>
      </c>
      <c r="C401" t="s">
        <v>106</v>
      </c>
      <c r="D401" s="8">
        <v>104.31</v>
      </c>
    </row>
    <row r="402" spans="1:4" x14ac:dyDescent="0.45">
      <c r="A402" s="7">
        <v>45863</v>
      </c>
      <c r="B402" t="s">
        <v>93</v>
      </c>
      <c r="C402" t="s">
        <v>100</v>
      </c>
      <c r="D402" s="8">
        <v>343.67</v>
      </c>
    </row>
    <row r="403" spans="1:4" x14ac:dyDescent="0.45">
      <c r="A403" s="7">
        <v>46084</v>
      </c>
      <c r="B403" t="s">
        <v>95</v>
      </c>
      <c r="C403" t="s">
        <v>109</v>
      </c>
      <c r="D403" s="8">
        <v>158.41</v>
      </c>
    </row>
    <row r="404" spans="1:4" x14ac:dyDescent="0.45">
      <c r="A404" s="7">
        <v>45508</v>
      </c>
      <c r="B404" t="s">
        <v>95</v>
      </c>
      <c r="C404" t="s">
        <v>109</v>
      </c>
      <c r="D404" s="8">
        <v>126.88</v>
      </c>
    </row>
    <row r="405" spans="1:4" x14ac:dyDescent="0.45">
      <c r="A405" s="7">
        <v>45877</v>
      </c>
      <c r="B405" t="s">
        <v>95</v>
      </c>
      <c r="C405" t="s">
        <v>96</v>
      </c>
      <c r="D405" s="8">
        <v>438.11</v>
      </c>
    </row>
    <row r="406" spans="1:4" x14ac:dyDescent="0.45">
      <c r="A406" s="7">
        <v>46026</v>
      </c>
      <c r="B406" t="s">
        <v>95</v>
      </c>
      <c r="C406" t="s">
        <v>108</v>
      </c>
      <c r="D406" s="8">
        <v>140.62</v>
      </c>
    </row>
    <row r="407" spans="1:4" x14ac:dyDescent="0.45">
      <c r="A407" s="7">
        <v>45965</v>
      </c>
      <c r="B407" t="s">
        <v>97</v>
      </c>
      <c r="C407" t="s">
        <v>101</v>
      </c>
      <c r="D407" s="8">
        <v>22.01</v>
      </c>
    </row>
    <row r="408" spans="1:4" x14ac:dyDescent="0.45">
      <c r="A408" s="7">
        <v>45416</v>
      </c>
      <c r="B408" t="s">
        <v>95</v>
      </c>
      <c r="C408" t="s">
        <v>96</v>
      </c>
      <c r="D408" s="8">
        <v>74.23</v>
      </c>
    </row>
    <row r="409" spans="1:4" x14ac:dyDescent="0.45">
      <c r="A409" s="7">
        <v>46172</v>
      </c>
      <c r="B409" t="s">
        <v>95</v>
      </c>
      <c r="C409" t="s">
        <v>96</v>
      </c>
      <c r="D409" s="8">
        <v>-76.55</v>
      </c>
    </row>
    <row r="410" spans="1:4" x14ac:dyDescent="0.45">
      <c r="A410" s="7">
        <v>45525</v>
      </c>
      <c r="B410" t="s">
        <v>95</v>
      </c>
      <c r="C410" t="s">
        <v>102</v>
      </c>
      <c r="D410" s="8">
        <v>217.97</v>
      </c>
    </row>
    <row r="411" spans="1:4" x14ac:dyDescent="0.45">
      <c r="A411" s="7">
        <v>45316</v>
      </c>
      <c r="B411" t="s">
        <v>95</v>
      </c>
      <c r="C411" t="s">
        <v>108</v>
      </c>
      <c r="D411" s="8">
        <v>-145.86000000000001</v>
      </c>
    </row>
    <row r="412" spans="1:4" x14ac:dyDescent="0.45">
      <c r="A412" s="7">
        <v>46075</v>
      </c>
      <c r="B412" t="s">
        <v>95</v>
      </c>
      <c r="C412" t="s">
        <v>109</v>
      </c>
      <c r="D412" s="8">
        <v>355.44</v>
      </c>
    </row>
    <row r="413" spans="1:4" x14ac:dyDescent="0.45">
      <c r="A413" s="7">
        <v>46054</v>
      </c>
      <c r="B413" t="s">
        <v>97</v>
      </c>
      <c r="C413" t="s">
        <v>98</v>
      </c>
      <c r="D413" s="8">
        <v>157.34</v>
      </c>
    </row>
    <row r="414" spans="1:4" x14ac:dyDescent="0.45">
      <c r="A414" s="7">
        <v>45843</v>
      </c>
      <c r="B414" t="s">
        <v>95</v>
      </c>
      <c r="C414" t="s">
        <v>105</v>
      </c>
      <c r="D414" s="8">
        <v>233.55</v>
      </c>
    </row>
    <row r="415" spans="1:4" x14ac:dyDescent="0.45">
      <c r="A415" s="7">
        <v>46191</v>
      </c>
      <c r="B415" t="s">
        <v>93</v>
      </c>
      <c r="C415" t="s">
        <v>100</v>
      </c>
      <c r="D415" s="8">
        <v>214.46</v>
      </c>
    </row>
    <row r="416" spans="1:4" x14ac:dyDescent="0.45">
      <c r="A416" s="7">
        <v>45816</v>
      </c>
      <c r="B416" t="s">
        <v>97</v>
      </c>
      <c r="C416" t="s">
        <v>107</v>
      </c>
      <c r="D416" s="8">
        <v>306.94</v>
      </c>
    </row>
    <row r="417" spans="1:4" x14ac:dyDescent="0.45">
      <c r="A417" s="7">
        <v>45865</v>
      </c>
      <c r="B417" t="s">
        <v>97</v>
      </c>
      <c r="C417" t="s">
        <v>101</v>
      </c>
      <c r="D417" s="8">
        <v>85.62</v>
      </c>
    </row>
    <row r="418" spans="1:4" x14ac:dyDescent="0.45">
      <c r="A418" s="7">
        <v>45803</v>
      </c>
      <c r="B418" t="s">
        <v>97</v>
      </c>
      <c r="C418" t="s">
        <v>104</v>
      </c>
      <c r="D418" s="8">
        <v>482.32</v>
      </c>
    </row>
    <row r="419" spans="1:4" x14ac:dyDescent="0.45">
      <c r="A419" s="7">
        <v>45331</v>
      </c>
      <c r="B419" t="s">
        <v>93</v>
      </c>
      <c r="C419" t="s">
        <v>94</v>
      </c>
      <c r="D419" s="8">
        <v>285.98</v>
      </c>
    </row>
    <row r="420" spans="1:4" x14ac:dyDescent="0.45">
      <c r="A420" s="7">
        <v>45786</v>
      </c>
      <c r="B420" t="s">
        <v>93</v>
      </c>
      <c r="C420" t="s">
        <v>106</v>
      </c>
      <c r="D420" s="8">
        <v>386.03</v>
      </c>
    </row>
    <row r="421" spans="1:4" x14ac:dyDescent="0.45">
      <c r="A421" s="7">
        <v>45770</v>
      </c>
      <c r="B421" t="s">
        <v>95</v>
      </c>
      <c r="C421" t="s">
        <v>105</v>
      </c>
      <c r="D421" s="8">
        <v>284.72000000000003</v>
      </c>
    </row>
    <row r="422" spans="1:4" x14ac:dyDescent="0.45">
      <c r="A422" s="7">
        <v>45329</v>
      </c>
      <c r="B422" t="s">
        <v>97</v>
      </c>
      <c r="C422" t="s">
        <v>104</v>
      </c>
      <c r="D422" s="8">
        <v>472.66</v>
      </c>
    </row>
    <row r="423" spans="1:4" x14ac:dyDescent="0.45">
      <c r="A423" s="7">
        <v>45835</v>
      </c>
      <c r="B423" t="s">
        <v>95</v>
      </c>
      <c r="C423" t="s">
        <v>102</v>
      </c>
      <c r="D423" s="8">
        <v>17.09</v>
      </c>
    </row>
    <row r="424" spans="1:4" x14ac:dyDescent="0.45">
      <c r="A424" s="7">
        <v>45913</v>
      </c>
      <c r="B424" t="s">
        <v>95</v>
      </c>
      <c r="C424" t="s">
        <v>96</v>
      </c>
      <c r="D424" s="8">
        <v>377.13</v>
      </c>
    </row>
    <row r="425" spans="1:4" x14ac:dyDescent="0.45">
      <c r="A425" s="7">
        <v>45530</v>
      </c>
      <c r="B425" t="s">
        <v>95</v>
      </c>
      <c r="C425" t="s">
        <v>99</v>
      </c>
      <c r="D425" s="8">
        <v>148.28</v>
      </c>
    </row>
    <row r="426" spans="1:4" x14ac:dyDescent="0.45">
      <c r="A426" s="7">
        <v>45793</v>
      </c>
      <c r="B426" t="s">
        <v>95</v>
      </c>
      <c r="C426" t="s">
        <v>109</v>
      </c>
      <c r="D426" s="8">
        <v>240.28</v>
      </c>
    </row>
    <row r="427" spans="1:4" x14ac:dyDescent="0.45">
      <c r="A427" s="7">
        <v>45343</v>
      </c>
      <c r="B427" t="s">
        <v>93</v>
      </c>
      <c r="C427" t="s">
        <v>94</v>
      </c>
      <c r="D427" s="8">
        <v>19.489999999999998</v>
      </c>
    </row>
    <row r="428" spans="1:4" x14ac:dyDescent="0.45">
      <c r="A428" s="7">
        <v>45960</v>
      </c>
      <c r="B428" t="s">
        <v>97</v>
      </c>
      <c r="C428" t="s">
        <v>98</v>
      </c>
      <c r="D428" s="8">
        <v>490.43</v>
      </c>
    </row>
    <row r="429" spans="1:4" x14ac:dyDescent="0.45">
      <c r="A429" s="7">
        <v>46163</v>
      </c>
      <c r="B429" t="s">
        <v>93</v>
      </c>
      <c r="C429" t="s">
        <v>100</v>
      </c>
      <c r="D429" s="8">
        <v>228.68</v>
      </c>
    </row>
    <row r="430" spans="1:4" x14ac:dyDescent="0.45">
      <c r="A430" s="7">
        <v>45849</v>
      </c>
      <c r="B430" t="s">
        <v>97</v>
      </c>
      <c r="C430" t="s">
        <v>101</v>
      </c>
      <c r="D430" s="8">
        <v>184.01</v>
      </c>
    </row>
    <row r="431" spans="1:4" x14ac:dyDescent="0.45">
      <c r="A431" s="7">
        <v>45709</v>
      </c>
      <c r="B431" t="s">
        <v>93</v>
      </c>
      <c r="C431" t="s">
        <v>94</v>
      </c>
      <c r="D431" s="8">
        <v>366.8</v>
      </c>
    </row>
    <row r="432" spans="1:4" x14ac:dyDescent="0.45">
      <c r="A432" s="7">
        <v>46138</v>
      </c>
      <c r="B432" t="s">
        <v>97</v>
      </c>
      <c r="C432" t="s">
        <v>107</v>
      </c>
      <c r="D432" s="8">
        <v>182.42</v>
      </c>
    </row>
    <row r="433" spans="1:4" x14ac:dyDescent="0.45">
      <c r="A433" s="7">
        <v>46136</v>
      </c>
      <c r="B433" t="s">
        <v>95</v>
      </c>
      <c r="C433" t="s">
        <v>109</v>
      </c>
      <c r="D433" s="8">
        <v>84.25</v>
      </c>
    </row>
    <row r="434" spans="1:4" x14ac:dyDescent="0.45">
      <c r="A434" s="7">
        <v>45841</v>
      </c>
      <c r="B434" t="s">
        <v>93</v>
      </c>
      <c r="C434" t="s">
        <v>94</v>
      </c>
      <c r="D434" s="8">
        <v>235.33</v>
      </c>
    </row>
    <row r="435" spans="1:4" x14ac:dyDescent="0.45">
      <c r="A435" s="7">
        <v>46125</v>
      </c>
      <c r="B435" t="s">
        <v>93</v>
      </c>
      <c r="C435" t="s">
        <v>94</v>
      </c>
      <c r="D435" s="8">
        <v>26.21</v>
      </c>
    </row>
    <row r="436" spans="1:4" x14ac:dyDescent="0.45">
      <c r="A436" s="7">
        <v>45455</v>
      </c>
      <c r="B436" t="s">
        <v>95</v>
      </c>
      <c r="C436" t="s">
        <v>105</v>
      </c>
      <c r="D436" s="8">
        <v>421.94</v>
      </c>
    </row>
    <row r="437" spans="1:4" x14ac:dyDescent="0.45">
      <c r="A437" s="7">
        <v>46082</v>
      </c>
      <c r="B437" t="s">
        <v>95</v>
      </c>
      <c r="C437" t="s">
        <v>108</v>
      </c>
      <c r="D437" s="8">
        <v>258.47000000000003</v>
      </c>
    </row>
    <row r="438" spans="1:4" x14ac:dyDescent="0.45">
      <c r="A438" s="7">
        <v>45553</v>
      </c>
      <c r="B438" t="s">
        <v>95</v>
      </c>
      <c r="C438" t="s">
        <v>109</v>
      </c>
      <c r="D438" s="8">
        <v>321.14</v>
      </c>
    </row>
    <row r="439" spans="1:4" x14ac:dyDescent="0.45">
      <c r="A439" s="7">
        <v>45560</v>
      </c>
      <c r="B439" t="s">
        <v>95</v>
      </c>
      <c r="C439" t="s">
        <v>102</v>
      </c>
      <c r="D439" s="8">
        <v>236.07</v>
      </c>
    </row>
    <row r="440" spans="1:4" x14ac:dyDescent="0.45">
      <c r="A440" s="7">
        <v>45821</v>
      </c>
      <c r="B440" t="s">
        <v>97</v>
      </c>
      <c r="C440" t="s">
        <v>104</v>
      </c>
      <c r="D440" s="8">
        <v>437.31</v>
      </c>
    </row>
    <row r="441" spans="1:4" x14ac:dyDescent="0.45">
      <c r="A441" s="7">
        <v>45832</v>
      </c>
      <c r="B441" t="s">
        <v>97</v>
      </c>
      <c r="C441" t="s">
        <v>104</v>
      </c>
      <c r="D441" s="8">
        <v>39.78</v>
      </c>
    </row>
    <row r="442" spans="1:4" x14ac:dyDescent="0.45">
      <c r="A442" s="7">
        <v>45791</v>
      </c>
      <c r="B442" t="s">
        <v>93</v>
      </c>
      <c r="C442" t="s">
        <v>103</v>
      </c>
      <c r="D442" s="8">
        <v>287.72000000000003</v>
      </c>
    </row>
    <row r="443" spans="1:4" x14ac:dyDescent="0.45">
      <c r="A443" s="7">
        <v>45577</v>
      </c>
      <c r="B443" t="s">
        <v>95</v>
      </c>
      <c r="C443" t="s">
        <v>96</v>
      </c>
      <c r="D443" s="8">
        <v>125.17</v>
      </c>
    </row>
    <row r="444" spans="1:4" x14ac:dyDescent="0.45">
      <c r="A444" s="7">
        <v>45655</v>
      </c>
      <c r="B444" t="s">
        <v>95</v>
      </c>
      <c r="C444" t="s">
        <v>108</v>
      </c>
      <c r="D444" s="8">
        <v>404.22</v>
      </c>
    </row>
    <row r="445" spans="1:4" x14ac:dyDescent="0.45">
      <c r="A445" s="7">
        <v>45955</v>
      </c>
      <c r="B445" t="s">
        <v>93</v>
      </c>
      <c r="C445" t="s">
        <v>100</v>
      </c>
      <c r="D445" s="8">
        <v>-82.05</v>
      </c>
    </row>
    <row r="446" spans="1:4" x14ac:dyDescent="0.45">
      <c r="A446" s="7">
        <v>45948</v>
      </c>
      <c r="B446" t="s">
        <v>95</v>
      </c>
      <c r="C446" t="s">
        <v>108</v>
      </c>
      <c r="D446" s="8">
        <v>485.69</v>
      </c>
    </row>
    <row r="447" spans="1:4" x14ac:dyDescent="0.45">
      <c r="A447" s="7">
        <v>46094</v>
      </c>
      <c r="B447" t="s">
        <v>95</v>
      </c>
      <c r="C447" t="s">
        <v>96</v>
      </c>
      <c r="D447" s="8">
        <v>-120.55</v>
      </c>
    </row>
    <row r="448" spans="1:4" x14ac:dyDescent="0.45">
      <c r="A448" s="7">
        <v>45347</v>
      </c>
      <c r="B448" t="s">
        <v>95</v>
      </c>
      <c r="C448" t="s">
        <v>105</v>
      </c>
      <c r="D448" s="8">
        <v>338.45</v>
      </c>
    </row>
    <row r="449" spans="1:4" x14ac:dyDescent="0.45">
      <c r="A449" s="7">
        <v>45455</v>
      </c>
      <c r="B449" t="s">
        <v>93</v>
      </c>
      <c r="C449" t="s">
        <v>100</v>
      </c>
      <c r="D449" s="8">
        <v>-117.07</v>
      </c>
    </row>
    <row r="450" spans="1:4" x14ac:dyDescent="0.45">
      <c r="A450" s="7">
        <v>45647</v>
      </c>
      <c r="B450" t="s">
        <v>93</v>
      </c>
      <c r="C450" t="s">
        <v>94</v>
      </c>
      <c r="D450" s="8">
        <v>60.26</v>
      </c>
    </row>
    <row r="451" spans="1:4" x14ac:dyDescent="0.45">
      <c r="A451" s="7">
        <v>46157</v>
      </c>
      <c r="B451" t="s">
        <v>93</v>
      </c>
      <c r="C451" t="s">
        <v>100</v>
      </c>
      <c r="D451" s="8">
        <v>352.68</v>
      </c>
    </row>
    <row r="452" spans="1:4" x14ac:dyDescent="0.45">
      <c r="A452" s="7">
        <v>45660</v>
      </c>
      <c r="B452" t="s">
        <v>95</v>
      </c>
      <c r="C452" t="s">
        <v>108</v>
      </c>
      <c r="D452" s="8">
        <v>450.25</v>
      </c>
    </row>
    <row r="453" spans="1:4" x14ac:dyDescent="0.45">
      <c r="A453" s="7">
        <v>45914</v>
      </c>
      <c r="B453" t="s">
        <v>95</v>
      </c>
      <c r="C453" t="s">
        <v>109</v>
      </c>
      <c r="D453" s="8">
        <v>-59.61</v>
      </c>
    </row>
    <row r="454" spans="1:4" x14ac:dyDescent="0.45">
      <c r="A454" s="7">
        <v>45884</v>
      </c>
      <c r="B454" t="s">
        <v>93</v>
      </c>
      <c r="C454" t="s">
        <v>106</v>
      </c>
      <c r="D454" s="8">
        <v>246.18</v>
      </c>
    </row>
    <row r="455" spans="1:4" x14ac:dyDescent="0.45">
      <c r="A455" s="7">
        <v>46014</v>
      </c>
      <c r="B455" t="s">
        <v>93</v>
      </c>
      <c r="C455" t="s">
        <v>94</v>
      </c>
      <c r="D455" s="8">
        <v>45.62</v>
      </c>
    </row>
    <row r="456" spans="1:4" x14ac:dyDescent="0.45">
      <c r="A456" s="7">
        <v>45338</v>
      </c>
      <c r="B456" t="s">
        <v>95</v>
      </c>
      <c r="C456" t="s">
        <v>96</v>
      </c>
      <c r="D456" s="8">
        <v>476.61</v>
      </c>
    </row>
    <row r="457" spans="1:4" x14ac:dyDescent="0.45">
      <c r="A457" s="7">
        <v>46068</v>
      </c>
      <c r="B457" t="s">
        <v>95</v>
      </c>
      <c r="C457" t="s">
        <v>102</v>
      </c>
      <c r="D457" s="8">
        <v>366.8</v>
      </c>
    </row>
    <row r="458" spans="1:4" x14ac:dyDescent="0.45">
      <c r="A458" s="7">
        <v>46058</v>
      </c>
      <c r="B458" t="s">
        <v>95</v>
      </c>
      <c r="C458" t="s">
        <v>109</v>
      </c>
      <c r="D458" s="8">
        <v>-119.08</v>
      </c>
    </row>
    <row r="459" spans="1:4" x14ac:dyDescent="0.45">
      <c r="A459" s="7">
        <v>46145</v>
      </c>
      <c r="B459" t="s">
        <v>97</v>
      </c>
      <c r="C459" t="s">
        <v>101</v>
      </c>
      <c r="D459" s="8">
        <v>-28.88</v>
      </c>
    </row>
    <row r="460" spans="1:4" x14ac:dyDescent="0.45">
      <c r="A460" s="7">
        <v>45937</v>
      </c>
      <c r="B460" t="s">
        <v>93</v>
      </c>
      <c r="C460" t="s">
        <v>103</v>
      </c>
      <c r="D460" s="8">
        <v>477.42</v>
      </c>
    </row>
    <row r="461" spans="1:4" x14ac:dyDescent="0.45">
      <c r="A461" s="7">
        <v>46103</v>
      </c>
      <c r="B461" t="s">
        <v>95</v>
      </c>
      <c r="C461" t="s">
        <v>105</v>
      </c>
      <c r="D461" s="8">
        <v>467.06</v>
      </c>
    </row>
    <row r="462" spans="1:4" x14ac:dyDescent="0.45">
      <c r="A462" s="7">
        <v>45430</v>
      </c>
      <c r="B462" t="s">
        <v>97</v>
      </c>
      <c r="C462" t="s">
        <v>101</v>
      </c>
      <c r="D462" s="8">
        <v>121.28</v>
      </c>
    </row>
    <row r="463" spans="1:4" x14ac:dyDescent="0.45">
      <c r="A463" s="7">
        <v>46154</v>
      </c>
      <c r="B463" t="s">
        <v>97</v>
      </c>
      <c r="C463" t="s">
        <v>107</v>
      </c>
      <c r="D463" s="8">
        <v>403.35</v>
      </c>
    </row>
    <row r="464" spans="1:4" x14ac:dyDescent="0.45">
      <c r="A464" s="7">
        <v>45806</v>
      </c>
      <c r="B464" t="s">
        <v>93</v>
      </c>
      <c r="C464" t="s">
        <v>94</v>
      </c>
      <c r="D464" s="8">
        <v>300.45</v>
      </c>
    </row>
    <row r="465" spans="1:4" x14ac:dyDescent="0.45">
      <c r="A465" s="7">
        <v>45308</v>
      </c>
      <c r="B465" t="s">
        <v>93</v>
      </c>
      <c r="C465" t="s">
        <v>106</v>
      </c>
      <c r="D465" s="8">
        <v>114.84</v>
      </c>
    </row>
    <row r="466" spans="1:4" x14ac:dyDescent="0.45">
      <c r="A466" s="7">
        <v>45522</v>
      </c>
      <c r="B466" t="s">
        <v>97</v>
      </c>
      <c r="C466" t="s">
        <v>101</v>
      </c>
      <c r="D466" s="8">
        <v>105.32</v>
      </c>
    </row>
    <row r="467" spans="1:4" x14ac:dyDescent="0.45">
      <c r="A467" s="7">
        <v>45800</v>
      </c>
      <c r="B467" t="s">
        <v>95</v>
      </c>
      <c r="C467" t="s">
        <v>96</v>
      </c>
      <c r="D467" s="8">
        <v>56.55</v>
      </c>
    </row>
    <row r="468" spans="1:4" x14ac:dyDescent="0.45">
      <c r="A468" s="7">
        <v>45645</v>
      </c>
      <c r="B468" t="s">
        <v>93</v>
      </c>
      <c r="C468" t="s">
        <v>94</v>
      </c>
      <c r="D468" s="8">
        <v>182.06</v>
      </c>
    </row>
    <row r="469" spans="1:4" x14ac:dyDescent="0.45">
      <c r="A469" s="7">
        <v>45927</v>
      </c>
      <c r="B469" t="s">
        <v>93</v>
      </c>
      <c r="C469" t="s">
        <v>103</v>
      </c>
      <c r="D469" s="8">
        <v>-131.30000000000001</v>
      </c>
    </row>
    <row r="470" spans="1:4" x14ac:dyDescent="0.45">
      <c r="A470" s="7">
        <v>45449</v>
      </c>
      <c r="B470" t="s">
        <v>93</v>
      </c>
      <c r="C470" t="s">
        <v>94</v>
      </c>
      <c r="D470" s="8">
        <v>174.71</v>
      </c>
    </row>
    <row r="471" spans="1:4" x14ac:dyDescent="0.45">
      <c r="A471" s="7">
        <v>45332</v>
      </c>
      <c r="B471" t="s">
        <v>95</v>
      </c>
      <c r="C471" t="s">
        <v>105</v>
      </c>
      <c r="D471" s="8">
        <v>193.15</v>
      </c>
    </row>
    <row r="472" spans="1:4" x14ac:dyDescent="0.45">
      <c r="A472" s="7">
        <v>45715</v>
      </c>
      <c r="B472" t="s">
        <v>95</v>
      </c>
      <c r="C472" t="s">
        <v>105</v>
      </c>
      <c r="D472" s="8">
        <v>98.92</v>
      </c>
    </row>
    <row r="473" spans="1:4" x14ac:dyDescent="0.45">
      <c r="A473" s="7">
        <v>45301</v>
      </c>
      <c r="B473" t="s">
        <v>95</v>
      </c>
      <c r="C473" t="s">
        <v>109</v>
      </c>
      <c r="D473" s="8">
        <v>392.32</v>
      </c>
    </row>
    <row r="474" spans="1:4" x14ac:dyDescent="0.45">
      <c r="A474" s="7">
        <v>46013</v>
      </c>
      <c r="B474" t="s">
        <v>93</v>
      </c>
      <c r="C474" t="s">
        <v>100</v>
      </c>
      <c r="D474" s="8">
        <v>-37.94</v>
      </c>
    </row>
    <row r="475" spans="1:4" x14ac:dyDescent="0.45">
      <c r="A475" s="7">
        <v>45687</v>
      </c>
      <c r="B475" t="s">
        <v>93</v>
      </c>
      <c r="C475" t="s">
        <v>106</v>
      </c>
      <c r="D475" s="8">
        <v>102.38</v>
      </c>
    </row>
    <row r="476" spans="1:4" x14ac:dyDescent="0.45">
      <c r="A476" s="7">
        <v>45989</v>
      </c>
      <c r="B476" t="s">
        <v>95</v>
      </c>
      <c r="C476" t="s">
        <v>105</v>
      </c>
      <c r="D476" s="8">
        <v>7.43</v>
      </c>
    </row>
    <row r="477" spans="1:4" x14ac:dyDescent="0.45">
      <c r="A477" s="7">
        <v>45716</v>
      </c>
      <c r="B477" t="s">
        <v>95</v>
      </c>
      <c r="C477" t="s">
        <v>96</v>
      </c>
      <c r="D477" s="8">
        <v>448.54</v>
      </c>
    </row>
    <row r="478" spans="1:4" x14ac:dyDescent="0.45">
      <c r="A478" s="7">
        <v>46164</v>
      </c>
      <c r="B478" t="s">
        <v>93</v>
      </c>
      <c r="C478" t="s">
        <v>103</v>
      </c>
      <c r="D478" s="8">
        <v>329.6</v>
      </c>
    </row>
    <row r="479" spans="1:4" x14ac:dyDescent="0.45">
      <c r="A479" s="7">
        <v>45523</v>
      </c>
      <c r="B479" t="s">
        <v>97</v>
      </c>
      <c r="C479" t="s">
        <v>104</v>
      </c>
      <c r="D479" s="8">
        <v>232.18</v>
      </c>
    </row>
    <row r="480" spans="1:4" x14ac:dyDescent="0.45">
      <c r="A480" s="7">
        <v>45485</v>
      </c>
      <c r="B480" t="s">
        <v>93</v>
      </c>
      <c r="C480" t="s">
        <v>103</v>
      </c>
      <c r="D480" s="8">
        <v>60.82</v>
      </c>
    </row>
    <row r="481" spans="1:4" x14ac:dyDescent="0.45">
      <c r="A481" s="7">
        <v>45607</v>
      </c>
      <c r="B481" t="s">
        <v>93</v>
      </c>
      <c r="C481" t="s">
        <v>94</v>
      </c>
      <c r="D481" s="8">
        <v>469.52</v>
      </c>
    </row>
    <row r="482" spans="1:4" x14ac:dyDescent="0.45">
      <c r="A482" s="7">
        <v>46006</v>
      </c>
      <c r="B482" t="s">
        <v>97</v>
      </c>
      <c r="C482" t="s">
        <v>107</v>
      </c>
      <c r="D482" s="8">
        <v>130.62</v>
      </c>
    </row>
    <row r="483" spans="1:4" x14ac:dyDescent="0.45">
      <c r="A483" s="7">
        <v>45550</v>
      </c>
      <c r="B483" t="s">
        <v>97</v>
      </c>
      <c r="C483" t="s">
        <v>98</v>
      </c>
      <c r="D483" s="8">
        <v>414.33</v>
      </c>
    </row>
    <row r="484" spans="1:4" x14ac:dyDescent="0.45">
      <c r="A484" s="7">
        <v>46016</v>
      </c>
      <c r="B484" t="s">
        <v>97</v>
      </c>
      <c r="C484" t="s">
        <v>101</v>
      </c>
      <c r="D484" s="8">
        <v>266.83</v>
      </c>
    </row>
    <row r="485" spans="1:4" x14ac:dyDescent="0.45">
      <c r="A485" s="7">
        <v>45369</v>
      </c>
      <c r="B485" t="s">
        <v>93</v>
      </c>
      <c r="C485" t="s">
        <v>106</v>
      </c>
      <c r="D485" s="8">
        <v>162.87</v>
      </c>
    </row>
    <row r="486" spans="1:4" x14ac:dyDescent="0.45">
      <c r="A486" s="7">
        <v>45733</v>
      </c>
      <c r="B486" t="s">
        <v>97</v>
      </c>
      <c r="C486" t="s">
        <v>104</v>
      </c>
      <c r="D486" s="8">
        <v>130.36000000000001</v>
      </c>
    </row>
    <row r="487" spans="1:4" x14ac:dyDescent="0.45">
      <c r="A487" s="7">
        <v>45380</v>
      </c>
      <c r="B487" t="s">
        <v>93</v>
      </c>
      <c r="C487" t="s">
        <v>103</v>
      </c>
      <c r="D487" s="8">
        <v>243.58</v>
      </c>
    </row>
    <row r="488" spans="1:4" x14ac:dyDescent="0.45">
      <c r="A488" s="7">
        <v>45983</v>
      </c>
      <c r="B488" t="s">
        <v>95</v>
      </c>
      <c r="C488" t="s">
        <v>96</v>
      </c>
      <c r="D488" s="8">
        <v>-120.41</v>
      </c>
    </row>
    <row r="489" spans="1:4" x14ac:dyDescent="0.45">
      <c r="A489" s="7">
        <v>45651</v>
      </c>
      <c r="B489" t="s">
        <v>95</v>
      </c>
      <c r="C489" t="s">
        <v>108</v>
      </c>
      <c r="D489" s="8">
        <v>485.81</v>
      </c>
    </row>
    <row r="490" spans="1:4" x14ac:dyDescent="0.45">
      <c r="A490" s="7">
        <v>45743</v>
      </c>
      <c r="B490" t="s">
        <v>97</v>
      </c>
      <c r="C490" t="s">
        <v>104</v>
      </c>
      <c r="D490" s="8">
        <v>334.48</v>
      </c>
    </row>
    <row r="491" spans="1:4" x14ac:dyDescent="0.45">
      <c r="A491" s="7">
        <v>45692</v>
      </c>
      <c r="B491" t="s">
        <v>97</v>
      </c>
      <c r="C491" t="s">
        <v>101</v>
      </c>
      <c r="D491" s="8">
        <v>-89.86</v>
      </c>
    </row>
    <row r="492" spans="1:4" x14ac:dyDescent="0.45">
      <c r="A492" s="7">
        <v>46006</v>
      </c>
      <c r="B492" t="s">
        <v>97</v>
      </c>
      <c r="C492" t="s">
        <v>98</v>
      </c>
      <c r="D492" s="8">
        <v>149.72</v>
      </c>
    </row>
    <row r="493" spans="1:4" x14ac:dyDescent="0.45">
      <c r="A493" s="7">
        <v>45349</v>
      </c>
      <c r="B493" t="s">
        <v>95</v>
      </c>
      <c r="C493" t="s">
        <v>108</v>
      </c>
      <c r="D493" s="8">
        <v>86.2</v>
      </c>
    </row>
    <row r="494" spans="1:4" x14ac:dyDescent="0.45">
      <c r="A494" s="7">
        <v>46179</v>
      </c>
      <c r="B494" t="s">
        <v>97</v>
      </c>
      <c r="C494" t="s">
        <v>98</v>
      </c>
      <c r="D494" s="8">
        <v>391.96</v>
      </c>
    </row>
    <row r="495" spans="1:4" x14ac:dyDescent="0.45">
      <c r="A495" s="7">
        <v>45827</v>
      </c>
      <c r="B495" t="s">
        <v>97</v>
      </c>
      <c r="C495" t="s">
        <v>101</v>
      </c>
      <c r="D495" s="8">
        <v>375.61</v>
      </c>
    </row>
    <row r="496" spans="1:4" x14ac:dyDescent="0.45">
      <c r="A496" s="7">
        <v>45317</v>
      </c>
      <c r="B496" t="s">
        <v>97</v>
      </c>
      <c r="C496" t="s">
        <v>98</v>
      </c>
      <c r="D496" s="8">
        <v>347.22</v>
      </c>
    </row>
    <row r="497" spans="1:4" x14ac:dyDescent="0.45">
      <c r="A497" s="7">
        <v>46167</v>
      </c>
      <c r="B497" t="s">
        <v>93</v>
      </c>
      <c r="C497" t="s">
        <v>100</v>
      </c>
      <c r="D497" s="8">
        <v>-11.24</v>
      </c>
    </row>
    <row r="498" spans="1:4" x14ac:dyDescent="0.45">
      <c r="A498" s="7">
        <v>46172</v>
      </c>
      <c r="B498" t="s">
        <v>95</v>
      </c>
      <c r="C498" t="s">
        <v>102</v>
      </c>
      <c r="D498" s="8">
        <v>339.03</v>
      </c>
    </row>
    <row r="499" spans="1:4" x14ac:dyDescent="0.45">
      <c r="A499" s="7">
        <v>46123</v>
      </c>
      <c r="B499" t="s">
        <v>95</v>
      </c>
      <c r="C499" t="s">
        <v>99</v>
      </c>
      <c r="D499" s="8">
        <v>360.19</v>
      </c>
    </row>
    <row r="500" spans="1:4" x14ac:dyDescent="0.45">
      <c r="A500" s="7">
        <v>45673</v>
      </c>
      <c r="B500" t="s">
        <v>97</v>
      </c>
      <c r="C500" t="s">
        <v>98</v>
      </c>
      <c r="D500" s="8">
        <v>102.83</v>
      </c>
    </row>
    <row r="501" spans="1:4" x14ac:dyDescent="0.45">
      <c r="A501" s="7">
        <v>45582</v>
      </c>
      <c r="B501" t="s">
        <v>93</v>
      </c>
      <c r="C501" t="s">
        <v>106</v>
      </c>
      <c r="D501" s="8">
        <v>-49.42</v>
      </c>
    </row>
    <row r="502" spans="1:4" x14ac:dyDescent="0.45">
      <c r="A502" s="7">
        <v>45964</v>
      </c>
      <c r="B502" t="s">
        <v>97</v>
      </c>
      <c r="C502" t="s">
        <v>107</v>
      </c>
      <c r="D502" s="8">
        <v>273.89999999999998</v>
      </c>
    </row>
    <row r="503" spans="1:4" x14ac:dyDescent="0.45">
      <c r="A503" s="7">
        <v>45585</v>
      </c>
      <c r="B503" t="s">
        <v>93</v>
      </c>
      <c r="C503" t="s">
        <v>100</v>
      </c>
      <c r="D503" s="8">
        <v>158.36000000000001</v>
      </c>
    </row>
    <row r="504" spans="1:4" x14ac:dyDescent="0.45">
      <c r="A504" s="7">
        <v>45331</v>
      </c>
      <c r="B504" t="s">
        <v>97</v>
      </c>
      <c r="C504" t="s">
        <v>98</v>
      </c>
      <c r="D504" s="8">
        <v>394.59</v>
      </c>
    </row>
    <row r="505" spans="1:4" x14ac:dyDescent="0.45">
      <c r="A505" s="7">
        <v>46049</v>
      </c>
      <c r="B505" t="s">
        <v>93</v>
      </c>
      <c r="C505" t="s">
        <v>103</v>
      </c>
      <c r="D505" s="8">
        <v>360.5</v>
      </c>
    </row>
    <row r="506" spans="1:4" x14ac:dyDescent="0.45">
      <c r="A506" s="7">
        <v>46103</v>
      </c>
      <c r="B506" t="s">
        <v>95</v>
      </c>
      <c r="C506" t="s">
        <v>99</v>
      </c>
      <c r="D506" s="8">
        <v>98.33</v>
      </c>
    </row>
    <row r="507" spans="1:4" x14ac:dyDescent="0.45">
      <c r="A507" s="7">
        <v>46002</v>
      </c>
      <c r="B507" t="s">
        <v>93</v>
      </c>
      <c r="C507" t="s">
        <v>100</v>
      </c>
      <c r="D507" s="8">
        <v>105.48</v>
      </c>
    </row>
    <row r="508" spans="1:4" x14ac:dyDescent="0.45">
      <c r="A508" s="7">
        <v>45871</v>
      </c>
      <c r="B508" t="s">
        <v>93</v>
      </c>
      <c r="C508" t="s">
        <v>94</v>
      </c>
      <c r="D508" s="8">
        <v>430.51</v>
      </c>
    </row>
    <row r="509" spans="1:4" x14ac:dyDescent="0.45">
      <c r="A509" s="7">
        <v>45299</v>
      </c>
      <c r="B509" t="s">
        <v>97</v>
      </c>
      <c r="C509" t="s">
        <v>107</v>
      </c>
      <c r="D509" s="8">
        <v>464.37</v>
      </c>
    </row>
    <row r="510" spans="1:4" x14ac:dyDescent="0.45">
      <c r="A510" s="7">
        <v>45418</v>
      </c>
      <c r="B510" t="s">
        <v>95</v>
      </c>
      <c r="C510" t="s">
        <v>109</v>
      </c>
      <c r="D510" s="8">
        <v>404.72</v>
      </c>
    </row>
    <row r="511" spans="1:4" x14ac:dyDescent="0.45">
      <c r="A511" s="7">
        <v>45560</v>
      </c>
      <c r="B511" t="s">
        <v>95</v>
      </c>
      <c r="C511" t="s">
        <v>105</v>
      </c>
      <c r="D511" s="8">
        <v>-67.260000000000005</v>
      </c>
    </row>
    <row r="512" spans="1:4" x14ac:dyDescent="0.45">
      <c r="A512" s="7">
        <v>45866</v>
      </c>
      <c r="B512" t="s">
        <v>97</v>
      </c>
      <c r="C512" t="s">
        <v>107</v>
      </c>
      <c r="D512" s="8">
        <v>459.47</v>
      </c>
    </row>
    <row r="513" spans="1:4" x14ac:dyDescent="0.45">
      <c r="A513" s="7">
        <v>45329</v>
      </c>
      <c r="B513" t="s">
        <v>93</v>
      </c>
      <c r="C513" t="s">
        <v>106</v>
      </c>
      <c r="D513" s="8">
        <v>-8.0500000000000007</v>
      </c>
    </row>
    <row r="514" spans="1:4" x14ac:dyDescent="0.45">
      <c r="A514" s="7">
        <v>45474</v>
      </c>
      <c r="B514" t="s">
        <v>95</v>
      </c>
      <c r="C514" t="s">
        <v>109</v>
      </c>
      <c r="D514" s="8">
        <v>-48.29</v>
      </c>
    </row>
    <row r="515" spans="1:4" x14ac:dyDescent="0.45">
      <c r="A515" s="7">
        <v>45992</v>
      </c>
      <c r="B515" t="s">
        <v>97</v>
      </c>
      <c r="C515" t="s">
        <v>107</v>
      </c>
      <c r="D515" s="8">
        <v>362.18</v>
      </c>
    </row>
    <row r="516" spans="1:4" x14ac:dyDescent="0.45">
      <c r="A516" s="7">
        <v>46159</v>
      </c>
      <c r="B516" t="s">
        <v>95</v>
      </c>
      <c r="C516" t="s">
        <v>96</v>
      </c>
      <c r="D516" s="8">
        <v>-7.95</v>
      </c>
    </row>
    <row r="517" spans="1:4" x14ac:dyDescent="0.45">
      <c r="A517" s="7">
        <v>46094</v>
      </c>
      <c r="B517" t="s">
        <v>95</v>
      </c>
      <c r="C517" t="s">
        <v>105</v>
      </c>
      <c r="D517" s="8">
        <v>-96.67</v>
      </c>
    </row>
    <row r="518" spans="1:4" x14ac:dyDescent="0.45">
      <c r="A518" s="7">
        <v>45716</v>
      </c>
      <c r="B518" t="s">
        <v>95</v>
      </c>
      <c r="C518" t="s">
        <v>108</v>
      </c>
      <c r="D518" s="8">
        <v>-71.77</v>
      </c>
    </row>
    <row r="519" spans="1:4" x14ac:dyDescent="0.45">
      <c r="A519" s="7">
        <v>45961</v>
      </c>
      <c r="B519" t="s">
        <v>95</v>
      </c>
      <c r="C519" t="s">
        <v>105</v>
      </c>
      <c r="D519" s="8">
        <v>499.3</v>
      </c>
    </row>
    <row r="520" spans="1:4" x14ac:dyDescent="0.45">
      <c r="A520" s="7">
        <v>45403</v>
      </c>
      <c r="B520" t="s">
        <v>95</v>
      </c>
      <c r="C520" t="s">
        <v>102</v>
      </c>
      <c r="D520" s="8">
        <v>-33.89</v>
      </c>
    </row>
    <row r="521" spans="1:4" x14ac:dyDescent="0.45">
      <c r="A521" s="7">
        <v>45656</v>
      </c>
      <c r="B521" t="s">
        <v>93</v>
      </c>
      <c r="C521" t="s">
        <v>106</v>
      </c>
      <c r="D521" s="8">
        <v>-146.28</v>
      </c>
    </row>
    <row r="522" spans="1:4" x14ac:dyDescent="0.45">
      <c r="A522" s="7">
        <v>45994</v>
      </c>
      <c r="B522" t="s">
        <v>97</v>
      </c>
      <c r="C522" t="s">
        <v>98</v>
      </c>
      <c r="D522" s="8">
        <v>391.48</v>
      </c>
    </row>
    <row r="523" spans="1:4" x14ac:dyDescent="0.45">
      <c r="A523" s="7">
        <v>46094</v>
      </c>
      <c r="B523" t="s">
        <v>95</v>
      </c>
      <c r="C523" t="s">
        <v>102</v>
      </c>
      <c r="D523" s="8">
        <v>404.25</v>
      </c>
    </row>
    <row r="524" spans="1:4" x14ac:dyDescent="0.45">
      <c r="A524" s="7">
        <v>45360</v>
      </c>
      <c r="B524" t="s">
        <v>93</v>
      </c>
      <c r="C524" t="s">
        <v>103</v>
      </c>
      <c r="D524" s="8">
        <v>394.04</v>
      </c>
    </row>
    <row r="525" spans="1:4" x14ac:dyDescent="0.45">
      <c r="A525" s="7">
        <v>45435</v>
      </c>
      <c r="B525" t="s">
        <v>95</v>
      </c>
      <c r="C525" t="s">
        <v>102</v>
      </c>
      <c r="D525" s="8">
        <v>282.76</v>
      </c>
    </row>
    <row r="526" spans="1:4" x14ac:dyDescent="0.45">
      <c r="A526" s="7">
        <v>45491</v>
      </c>
      <c r="B526" t="s">
        <v>97</v>
      </c>
      <c r="C526" t="s">
        <v>107</v>
      </c>
      <c r="D526" s="8">
        <v>215.92</v>
      </c>
    </row>
    <row r="527" spans="1:4" x14ac:dyDescent="0.45">
      <c r="A527" s="7">
        <v>45792</v>
      </c>
      <c r="B527" t="s">
        <v>93</v>
      </c>
      <c r="C527" t="s">
        <v>103</v>
      </c>
      <c r="D527" s="8">
        <v>-42.03</v>
      </c>
    </row>
    <row r="528" spans="1:4" x14ac:dyDescent="0.45">
      <c r="A528" s="7">
        <v>45849</v>
      </c>
      <c r="B528" t="s">
        <v>93</v>
      </c>
      <c r="C528" t="s">
        <v>94</v>
      </c>
      <c r="D528" s="8">
        <v>187.01</v>
      </c>
    </row>
    <row r="529" spans="1:4" x14ac:dyDescent="0.45">
      <c r="A529" s="7">
        <v>45475</v>
      </c>
      <c r="B529" t="s">
        <v>95</v>
      </c>
      <c r="C529" t="s">
        <v>105</v>
      </c>
      <c r="D529" s="8">
        <v>-127.64</v>
      </c>
    </row>
    <row r="530" spans="1:4" x14ac:dyDescent="0.45">
      <c r="A530" s="7">
        <v>45565</v>
      </c>
      <c r="B530" t="s">
        <v>95</v>
      </c>
      <c r="C530" t="s">
        <v>108</v>
      </c>
      <c r="D530" s="8">
        <v>361.88</v>
      </c>
    </row>
    <row r="531" spans="1:4" x14ac:dyDescent="0.45">
      <c r="A531" s="7">
        <v>46057</v>
      </c>
      <c r="B531" t="s">
        <v>95</v>
      </c>
      <c r="C531" t="s">
        <v>96</v>
      </c>
      <c r="D531" s="8">
        <v>-144.74</v>
      </c>
    </row>
    <row r="532" spans="1:4" x14ac:dyDescent="0.45">
      <c r="A532" s="7">
        <v>45873</v>
      </c>
      <c r="B532" t="s">
        <v>97</v>
      </c>
      <c r="C532" t="s">
        <v>98</v>
      </c>
      <c r="D532" s="8">
        <v>336.12</v>
      </c>
    </row>
    <row r="533" spans="1:4" x14ac:dyDescent="0.45">
      <c r="A533" s="7">
        <v>45913</v>
      </c>
      <c r="B533" t="s">
        <v>97</v>
      </c>
      <c r="C533" t="s">
        <v>107</v>
      </c>
      <c r="D533" s="8">
        <v>344.73</v>
      </c>
    </row>
    <row r="534" spans="1:4" x14ac:dyDescent="0.45">
      <c r="A534" s="7">
        <v>46146</v>
      </c>
      <c r="B534" t="s">
        <v>95</v>
      </c>
      <c r="C534" t="s">
        <v>108</v>
      </c>
      <c r="D534" s="8">
        <v>216.42</v>
      </c>
    </row>
    <row r="535" spans="1:4" x14ac:dyDescent="0.45">
      <c r="A535" s="7">
        <v>45803</v>
      </c>
      <c r="B535" t="s">
        <v>95</v>
      </c>
      <c r="C535" t="s">
        <v>102</v>
      </c>
      <c r="D535" s="8">
        <v>385.66</v>
      </c>
    </row>
    <row r="536" spans="1:4" x14ac:dyDescent="0.45">
      <c r="A536" s="7">
        <v>46114</v>
      </c>
      <c r="B536" t="s">
        <v>93</v>
      </c>
      <c r="C536" t="s">
        <v>100</v>
      </c>
      <c r="D536" s="8">
        <v>177.63</v>
      </c>
    </row>
    <row r="537" spans="1:4" x14ac:dyDescent="0.45">
      <c r="A537" s="7">
        <v>45779</v>
      </c>
      <c r="B537" t="s">
        <v>97</v>
      </c>
      <c r="C537" t="s">
        <v>104</v>
      </c>
      <c r="D537" s="8">
        <v>232.09</v>
      </c>
    </row>
    <row r="538" spans="1:4" x14ac:dyDescent="0.45">
      <c r="A538" s="7">
        <v>46148</v>
      </c>
      <c r="B538" t="s">
        <v>97</v>
      </c>
      <c r="C538" t="s">
        <v>107</v>
      </c>
      <c r="D538" s="8">
        <v>99.12</v>
      </c>
    </row>
    <row r="539" spans="1:4" x14ac:dyDescent="0.45">
      <c r="A539" s="7">
        <v>45614</v>
      </c>
      <c r="B539" t="s">
        <v>95</v>
      </c>
      <c r="C539" t="s">
        <v>109</v>
      </c>
      <c r="D539" s="8">
        <v>55.14</v>
      </c>
    </row>
    <row r="540" spans="1:4" x14ac:dyDescent="0.45">
      <c r="A540" s="7">
        <v>45669</v>
      </c>
      <c r="B540" t="s">
        <v>95</v>
      </c>
      <c r="C540" t="s">
        <v>96</v>
      </c>
      <c r="D540" s="8">
        <v>431.04</v>
      </c>
    </row>
    <row r="541" spans="1:4" x14ac:dyDescent="0.45">
      <c r="A541" s="7">
        <v>46080</v>
      </c>
      <c r="B541" t="s">
        <v>95</v>
      </c>
      <c r="C541" t="s">
        <v>105</v>
      </c>
      <c r="D541" s="8">
        <v>242.62</v>
      </c>
    </row>
    <row r="542" spans="1:4" x14ac:dyDescent="0.45">
      <c r="A542" s="7">
        <v>45295</v>
      </c>
      <c r="B542" t="s">
        <v>95</v>
      </c>
      <c r="C542" t="s">
        <v>109</v>
      </c>
      <c r="D542" s="8">
        <v>178.15</v>
      </c>
    </row>
    <row r="543" spans="1:4" x14ac:dyDescent="0.45">
      <c r="A543" s="7">
        <v>45775</v>
      </c>
      <c r="B543" t="s">
        <v>95</v>
      </c>
      <c r="C543" t="s">
        <v>109</v>
      </c>
      <c r="D543" s="8">
        <v>-51.68</v>
      </c>
    </row>
    <row r="544" spans="1:4" x14ac:dyDescent="0.45">
      <c r="A544" s="7">
        <v>46188</v>
      </c>
      <c r="B544" t="s">
        <v>97</v>
      </c>
      <c r="C544" t="s">
        <v>104</v>
      </c>
      <c r="D544" s="8">
        <v>411.89</v>
      </c>
    </row>
    <row r="545" spans="1:4" x14ac:dyDescent="0.45">
      <c r="A545" s="7">
        <v>46102</v>
      </c>
      <c r="B545" t="s">
        <v>93</v>
      </c>
      <c r="C545" t="s">
        <v>103</v>
      </c>
      <c r="D545" s="8">
        <v>481.98</v>
      </c>
    </row>
    <row r="546" spans="1:4" x14ac:dyDescent="0.45">
      <c r="A546" s="7">
        <v>45596</v>
      </c>
      <c r="B546" t="s">
        <v>93</v>
      </c>
      <c r="C546" t="s">
        <v>106</v>
      </c>
      <c r="D546" s="8">
        <v>117.68</v>
      </c>
    </row>
    <row r="547" spans="1:4" x14ac:dyDescent="0.45">
      <c r="A547" s="7">
        <v>45828</v>
      </c>
      <c r="B547" t="s">
        <v>97</v>
      </c>
      <c r="C547" t="s">
        <v>98</v>
      </c>
      <c r="D547" s="8">
        <v>329.57</v>
      </c>
    </row>
    <row r="548" spans="1:4" x14ac:dyDescent="0.45">
      <c r="A548" s="7">
        <v>45531</v>
      </c>
      <c r="B548" t="s">
        <v>95</v>
      </c>
      <c r="C548" t="s">
        <v>105</v>
      </c>
      <c r="D548" s="8">
        <v>268.24</v>
      </c>
    </row>
    <row r="549" spans="1:4" x14ac:dyDescent="0.45">
      <c r="A549" s="7">
        <v>45878</v>
      </c>
      <c r="B549" t="s">
        <v>97</v>
      </c>
      <c r="C549" t="s">
        <v>107</v>
      </c>
      <c r="D549" s="8">
        <v>134.61000000000001</v>
      </c>
    </row>
    <row r="550" spans="1:4" x14ac:dyDescent="0.45">
      <c r="A550" s="7">
        <v>45351</v>
      </c>
      <c r="B550" t="s">
        <v>95</v>
      </c>
      <c r="C550" t="s">
        <v>99</v>
      </c>
      <c r="D550" s="8">
        <v>-126.77</v>
      </c>
    </row>
    <row r="551" spans="1:4" x14ac:dyDescent="0.45">
      <c r="A551" s="7">
        <v>45731</v>
      </c>
      <c r="B551" t="s">
        <v>97</v>
      </c>
      <c r="C551" t="s">
        <v>104</v>
      </c>
      <c r="D551" s="8">
        <v>205.77</v>
      </c>
    </row>
    <row r="552" spans="1:4" x14ac:dyDescent="0.45">
      <c r="A552" s="7">
        <v>45468</v>
      </c>
      <c r="B552" t="s">
        <v>93</v>
      </c>
      <c r="C552" t="s">
        <v>103</v>
      </c>
      <c r="D552" s="8">
        <v>-108.81</v>
      </c>
    </row>
    <row r="553" spans="1:4" x14ac:dyDescent="0.45">
      <c r="A553" s="7">
        <v>45727</v>
      </c>
      <c r="B553" t="s">
        <v>93</v>
      </c>
      <c r="C553" t="s">
        <v>106</v>
      </c>
      <c r="D553" s="8">
        <v>222.55</v>
      </c>
    </row>
    <row r="554" spans="1:4" x14ac:dyDescent="0.45">
      <c r="A554" s="7">
        <v>45625</v>
      </c>
      <c r="B554" t="s">
        <v>93</v>
      </c>
      <c r="C554" t="s">
        <v>100</v>
      </c>
      <c r="D554" s="8">
        <v>444.28</v>
      </c>
    </row>
    <row r="555" spans="1:4" x14ac:dyDescent="0.45">
      <c r="A555" s="7">
        <v>45385</v>
      </c>
      <c r="B555" t="s">
        <v>93</v>
      </c>
      <c r="C555" t="s">
        <v>94</v>
      </c>
      <c r="D555" s="8">
        <v>-49.96</v>
      </c>
    </row>
    <row r="556" spans="1:4" x14ac:dyDescent="0.45">
      <c r="A556" s="7">
        <v>46148</v>
      </c>
      <c r="B556" t="s">
        <v>93</v>
      </c>
      <c r="C556" t="s">
        <v>100</v>
      </c>
      <c r="D556" s="8">
        <v>352.77</v>
      </c>
    </row>
    <row r="557" spans="1:4" x14ac:dyDescent="0.45">
      <c r="A557" s="7">
        <v>45368</v>
      </c>
      <c r="B557" t="s">
        <v>95</v>
      </c>
      <c r="C557" t="s">
        <v>99</v>
      </c>
      <c r="D557" s="8">
        <v>49.01</v>
      </c>
    </row>
    <row r="558" spans="1:4" x14ac:dyDescent="0.45">
      <c r="A558" s="7">
        <v>45966</v>
      </c>
      <c r="B558" t="s">
        <v>93</v>
      </c>
      <c r="C558" t="s">
        <v>100</v>
      </c>
      <c r="D558" s="8">
        <v>166.86</v>
      </c>
    </row>
    <row r="559" spans="1:4" x14ac:dyDescent="0.45">
      <c r="A559" s="7">
        <v>45722</v>
      </c>
      <c r="B559" t="s">
        <v>97</v>
      </c>
      <c r="C559" t="s">
        <v>104</v>
      </c>
      <c r="D559" s="8">
        <v>375.52</v>
      </c>
    </row>
    <row r="560" spans="1:4" x14ac:dyDescent="0.45">
      <c r="A560" s="7">
        <v>46090</v>
      </c>
      <c r="B560" t="s">
        <v>95</v>
      </c>
      <c r="C560" t="s">
        <v>96</v>
      </c>
      <c r="D560" s="8">
        <v>-87.5</v>
      </c>
    </row>
    <row r="561" spans="1:4" x14ac:dyDescent="0.45">
      <c r="A561" s="7">
        <v>45704</v>
      </c>
      <c r="B561" t="s">
        <v>93</v>
      </c>
      <c r="C561" t="s">
        <v>94</v>
      </c>
      <c r="D561" s="8">
        <v>422.81</v>
      </c>
    </row>
    <row r="562" spans="1:4" x14ac:dyDescent="0.45">
      <c r="A562" s="7">
        <v>45782</v>
      </c>
      <c r="B562" t="s">
        <v>97</v>
      </c>
      <c r="C562" t="s">
        <v>104</v>
      </c>
      <c r="D562" s="8">
        <v>294.48</v>
      </c>
    </row>
    <row r="563" spans="1:4" x14ac:dyDescent="0.45">
      <c r="A563" s="7">
        <v>45952</v>
      </c>
      <c r="B563" t="s">
        <v>97</v>
      </c>
      <c r="C563" t="s">
        <v>104</v>
      </c>
      <c r="D563" s="8">
        <v>353.04</v>
      </c>
    </row>
    <row r="564" spans="1:4" x14ac:dyDescent="0.45">
      <c r="A564" s="7">
        <v>46017</v>
      </c>
      <c r="B564" t="s">
        <v>97</v>
      </c>
      <c r="C564" t="s">
        <v>107</v>
      </c>
      <c r="D564" s="8">
        <v>163.69999999999999</v>
      </c>
    </row>
    <row r="565" spans="1:4" x14ac:dyDescent="0.45">
      <c r="A565" s="7">
        <v>45579</v>
      </c>
      <c r="B565" t="s">
        <v>95</v>
      </c>
      <c r="C565" t="s">
        <v>96</v>
      </c>
      <c r="D565" s="8">
        <v>-143.51</v>
      </c>
    </row>
    <row r="566" spans="1:4" x14ac:dyDescent="0.45">
      <c r="A566" s="7">
        <v>45878</v>
      </c>
      <c r="B566" t="s">
        <v>93</v>
      </c>
      <c r="C566" t="s">
        <v>100</v>
      </c>
      <c r="D566" s="8">
        <v>154.85</v>
      </c>
    </row>
    <row r="567" spans="1:4" x14ac:dyDescent="0.45">
      <c r="A567" s="7">
        <v>45350</v>
      </c>
      <c r="B567" t="s">
        <v>95</v>
      </c>
      <c r="C567" t="s">
        <v>96</v>
      </c>
      <c r="D567" s="8">
        <v>56.75</v>
      </c>
    </row>
    <row r="568" spans="1:4" x14ac:dyDescent="0.45">
      <c r="A568" s="7">
        <v>46098</v>
      </c>
      <c r="B568" t="s">
        <v>93</v>
      </c>
      <c r="C568" t="s">
        <v>103</v>
      </c>
      <c r="D568" s="8">
        <v>314.74</v>
      </c>
    </row>
    <row r="569" spans="1:4" x14ac:dyDescent="0.45">
      <c r="A569" s="7">
        <v>45755</v>
      </c>
      <c r="B569" t="s">
        <v>97</v>
      </c>
      <c r="C569" t="s">
        <v>101</v>
      </c>
      <c r="D569" s="8">
        <v>309.13</v>
      </c>
    </row>
    <row r="570" spans="1:4" x14ac:dyDescent="0.45">
      <c r="A570" s="7">
        <v>45427</v>
      </c>
      <c r="B570" t="s">
        <v>95</v>
      </c>
      <c r="C570" t="s">
        <v>99</v>
      </c>
      <c r="D570" s="8">
        <v>216.01</v>
      </c>
    </row>
    <row r="571" spans="1:4" x14ac:dyDescent="0.45">
      <c r="A571" s="7">
        <v>45919</v>
      </c>
      <c r="B571" t="s">
        <v>97</v>
      </c>
      <c r="C571" t="s">
        <v>98</v>
      </c>
      <c r="D571" s="8">
        <v>0.41</v>
      </c>
    </row>
    <row r="572" spans="1:4" x14ac:dyDescent="0.45">
      <c r="A572" s="7">
        <v>46083</v>
      </c>
      <c r="B572" t="s">
        <v>93</v>
      </c>
      <c r="C572" t="s">
        <v>100</v>
      </c>
      <c r="D572" s="8">
        <v>-144.44999999999999</v>
      </c>
    </row>
    <row r="573" spans="1:4" x14ac:dyDescent="0.45">
      <c r="A573" s="7">
        <v>46006</v>
      </c>
      <c r="B573" t="s">
        <v>93</v>
      </c>
      <c r="C573" t="s">
        <v>100</v>
      </c>
      <c r="D573" s="8">
        <v>231.69</v>
      </c>
    </row>
    <row r="574" spans="1:4" x14ac:dyDescent="0.45">
      <c r="A574" s="7">
        <v>45653</v>
      </c>
      <c r="B574" t="s">
        <v>93</v>
      </c>
      <c r="C574" t="s">
        <v>94</v>
      </c>
      <c r="D574" s="8">
        <v>-142.51</v>
      </c>
    </row>
    <row r="575" spans="1:4" x14ac:dyDescent="0.45">
      <c r="A575" s="7">
        <v>45662</v>
      </c>
      <c r="B575" t="s">
        <v>95</v>
      </c>
      <c r="C575" t="s">
        <v>96</v>
      </c>
      <c r="D575" s="8">
        <v>158</v>
      </c>
    </row>
    <row r="576" spans="1:4" x14ac:dyDescent="0.45">
      <c r="A576" s="7">
        <v>45370</v>
      </c>
      <c r="B576" t="s">
        <v>97</v>
      </c>
      <c r="C576" t="s">
        <v>104</v>
      </c>
      <c r="D576" s="8">
        <v>-18.45</v>
      </c>
    </row>
    <row r="577" spans="1:4" x14ac:dyDescent="0.45">
      <c r="A577" s="7">
        <v>45905</v>
      </c>
      <c r="B577" t="s">
        <v>93</v>
      </c>
      <c r="C577" t="s">
        <v>100</v>
      </c>
      <c r="D577" s="8">
        <v>-105.76</v>
      </c>
    </row>
    <row r="578" spans="1:4" x14ac:dyDescent="0.45">
      <c r="A578" s="7">
        <v>45866</v>
      </c>
      <c r="B578" t="s">
        <v>93</v>
      </c>
      <c r="C578" t="s">
        <v>94</v>
      </c>
      <c r="D578" s="8">
        <v>441.22</v>
      </c>
    </row>
    <row r="579" spans="1:4" x14ac:dyDescent="0.45">
      <c r="A579" s="7">
        <v>45719</v>
      </c>
      <c r="B579" t="s">
        <v>97</v>
      </c>
      <c r="C579" t="s">
        <v>107</v>
      </c>
      <c r="D579" s="8">
        <v>-86</v>
      </c>
    </row>
    <row r="580" spans="1:4" x14ac:dyDescent="0.45">
      <c r="A580" s="7">
        <v>45959</v>
      </c>
      <c r="B580" t="s">
        <v>93</v>
      </c>
      <c r="C580" t="s">
        <v>103</v>
      </c>
      <c r="D580" s="8">
        <v>236.64</v>
      </c>
    </row>
    <row r="581" spans="1:4" x14ac:dyDescent="0.45">
      <c r="A581" s="7">
        <v>45766</v>
      </c>
      <c r="B581" t="s">
        <v>93</v>
      </c>
      <c r="C581" t="s">
        <v>100</v>
      </c>
      <c r="D581" s="8">
        <v>153.81</v>
      </c>
    </row>
    <row r="582" spans="1:4" x14ac:dyDescent="0.45">
      <c r="A582" s="7">
        <v>45533</v>
      </c>
      <c r="B582" t="s">
        <v>97</v>
      </c>
      <c r="C582" t="s">
        <v>98</v>
      </c>
      <c r="D582" s="8">
        <v>-89.85</v>
      </c>
    </row>
    <row r="583" spans="1:4" x14ac:dyDescent="0.45">
      <c r="A583" s="7">
        <v>46154</v>
      </c>
      <c r="B583" t="s">
        <v>95</v>
      </c>
      <c r="C583" t="s">
        <v>99</v>
      </c>
      <c r="D583" s="8">
        <v>79.75</v>
      </c>
    </row>
    <row r="584" spans="1:4" x14ac:dyDescent="0.45">
      <c r="A584" s="7">
        <v>45448</v>
      </c>
      <c r="B584" t="s">
        <v>95</v>
      </c>
      <c r="C584" t="s">
        <v>99</v>
      </c>
      <c r="D584" s="8">
        <v>-58.66</v>
      </c>
    </row>
    <row r="585" spans="1:4" x14ac:dyDescent="0.45">
      <c r="A585" s="7">
        <v>45389</v>
      </c>
      <c r="B585" t="s">
        <v>97</v>
      </c>
      <c r="C585" t="s">
        <v>98</v>
      </c>
      <c r="D585" s="8">
        <v>-11.57</v>
      </c>
    </row>
    <row r="586" spans="1:4" x14ac:dyDescent="0.45">
      <c r="A586" s="7">
        <v>45447</v>
      </c>
      <c r="B586" t="s">
        <v>95</v>
      </c>
      <c r="C586" t="s">
        <v>99</v>
      </c>
      <c r="D586" s="8">
        <v>355.76</v>
      </c>
    </row>
    <row r="587" spans="1:4" x14ac:dyDescent="0.45">
      <c r="A587" s="7">
        <v>45917</v>
      </c>
      <c r="B587" t="s">
        <v>97</v>
      </c>
      <c r="C587" t="s">
        <v>101</v>
      </c>
      <c r="D587" s="8">
        <v>136.88</v>
      </c>
    </row>
    <row r="588" spans="1:4" x14ac:dyDescent="0.45">
      <c r="A588" s="7">
        <v>46075</v>
      </c>
      <c r="B588" t="s">
        <v>95</v>
      </c>
      <c r="C588" t="s">
        <v>109</v>
      </c>
      <c r="D588" s="8">
        <v>407.21</v>
      </c>
    </row>
    <row r="589" spans="1:4" x14ac:dyDescent="0.45">
      <c r="A589" s="7">
        <v>45752</v>
      </c>
      <c r="B589" t="s">
        <v>97</v>
      </c>
      <c r="C589" t="s">
        <v>98</v>
      </c>
      <c r="D589" s="8">
        <v>493.22</v>
      </c>
    </row>
    <row r="590" spans="1:4" x14ac:dyDescent="0.45">
      <c r="A590" s="7">
        <v>45771</v>
      </c>
      <c r="B590" t="s">
        <v>95</v>
      </c>
      <c r="C590" t="s">
        <v>109</v>
      </c>
      <c r="D590" s="8">
        <v>447.47</v>
      </c>
    </row>
    <row r="591" spans="1:4" x14ac:dyDescent="0.45">
      <c r="A591" s="7">
        <v>45849</v>
      </c>
      <c r="B591" t="s">
        <v>97</v>
      </c>
      <c r="C591" t="s">
        <v>104</v>
      </c>
      <c r="D591" s="8">
        <v>72.42</v>
      </c>
    </row>
    <row r="592" spans="1:4" x14ac:dyDescent="0.45">
      <c r="A592" s="7">
        <v>45998</v>
      </c>
      <c r="B592" t="s">
        <v>97</v>
      </c>
      <c r="C592" t="s">
        <v>107</v>
      </c>
      <c r="D592" s="8">
        <v>317.47000000000003</v>
      </c>
    </row>
    <row r="593" spans="1:4" x14ac:dyDescent="0.45">
      <c r="A593" s="7">
        <v>45601</v>
      </c>
      <c r="B593" t="s">
        <v>93</v>
      </c>
      <c r="C593" t="s">
        <v>106</v>
      </c>
      <c r="D593" s="8">
        <v>361.02</v>
      </c>
    </row>
    <row r="594" spans="1:4" x14ac:dyDescent="0.45">
      <c r="A594" s="7">
        <v>46086</v>
      </c>
      <c r="B594" t="s">
        <v>97</v>
      </c>
      <c r="C594" t="s">
        <v>101</v>
      </c>
      <c r="D594" s="8">
        <v>-64.94</v>
      </c>
    </row>
    <row r="595" spans="1:4" x14ac:dyDescent="0.45">
      <c r="A595" s="7">
        <v>45359</v>
      </c>
      <c r="B595" t="s">
        <v>93</v>
      </c>
      <c r="C595" t="s">
        <v>103</v>
      </c>
      <c r="D595" s="8">
        <v>187.54</v>
      </c>
    </row>
    <row r="596" spans="1:4" x14ac:dyDescent="0.45">
      <c r="A596" s="7">
        <v>45734</v>
      </c>
      <c r="B596" t="s">
        <v>97</v>
      </c>
      <c r="C596" t="s">
        <v>98</v>
      </c>
      <c r="D596" s="8">
        <v>-37.15</v>
      </c>
    </row>
    <row r="597" spans="1:4" x14ac:dyDescent="0.45">
      <c r="A597" s="7">
        <v>45352</v>
      </c>
      <c r="B597" t="s">
        <v>93</v>
      </c>
      <c r="C597" t="s">
        <v>106</v>
      </c>
      <c r="D597" s="8">
        <v>-28.74</v>
      </c>
    </row>
    <row r="598" spans="1:4" x14ac:dyDescent="0.45">
      <c r="A598" s="7">
        <v>45326</v>
      </c>
      <c r="B598" t="s">
        <v>95</v>
      </c>
      <c r="C598" t="s">
        <v>105</v>
      </c>
      <c r="D598" s="8">
        <v>217.9</v>
      </c>
    </row>
    <row r="599" spans="1:4" x14ac:dyDescent="0.45">
      <c r="A599" s="7">
        <v>45954</v>
      </c>
      <c r="B599" t="s">
        <v>97</v>
      </c>
      <c r="C599" t="s">
        <v>101</v>
      </c>
      <c r="D599" s="8">
        <v>-57.59</v>
      </c>
    </row>
    <row r="600" spans="1:4" x14ac:dyDescent="0.45">
      <c r="A600" s="7">
        <v>45430</v>
      </c>
      <c r="B600" t="s">
        <v>95</v>
      </c>
      <c r="C600" t="s">
        <v>109</v>
      </c>
      <c r="D600" s="8">
        <v>278.17</v>
      </c>
    </row>
    <row r="601" spans="1:4" x14ac:dyDescent="0.45">
      <c r="A601" s="7">
        <v>46000</v>
      </c>
      <c r="B601" t="s">
        <v>93</v>
      </c>
      <c r="C601" t="s">
        <v>94</v>
      </c>
      <c r="D601" s="8">
        <v>89.26</v>
      </c>
    </row>
    <row r="602" spans="1:4" x14ac:dyDescent="0.45">
      <c r="A602" s="7">
        <v>45744</v>
      </c>
      <c r="B602" t="s">
        <v>95</v>
      </c>
      <c r="C602" t="s">
        <v>99</v>
      </c>
      <c r="D602" s="8">
        <v>-99.9</v>
      </c>
    </row>
    <row r="603" spans="1:4" x14ac:dyDescent="0.45">
      <c r="A603" s="7">
        <v>45916</v>
      </c>
      <c r="B603" t="s">
        <v>97</v>
      </c>
      <c r="C603" t="s">
        <v>101</v>
      </c>
      <c r="D603" s="8">
        <v>364.5</v>
      </c>
    </row>
    <row r="604" spans="1:4" x14ac:dyDescent="0.45">
      <c r="A604" s="7">
        <v>45646</v>
      </c>
      <c r="B604" t="s">
        <v>93</v>
      </c>
      <c r="C604" t="s">
        <v>106</v>
      </c>
      <c r="D604" s="8">
        <v>289.75</v>
      </c>
    </row>
    <row r="605" spans="1:4" x14ac:dyDescent="0.45">
      <c r="A605" s="7">
        <v>45349</v>
      </c>
      <c r="B605" t="s">
        <v>93</v>
      </c>
      <c r="C605" t="s">
        <v>100</v>
      </c>
      <c r="D605" s="8">
        <v>18.829999999999998</v>
      </c>
    </row>
    <row r="606" spans="1:4" x14ac:dyDescent="0.45">
      <c r="A606" s="7">
        <v>46120</v>
      </c>
      <c r="B606" t="s">
        <v>93</v>
      </c>
      <c r="C606" t="s">
        <v>100</v>
      </c>
      <c r="D606" s="8">
        <v>26.08</v>
      </c>
    </row>
    <row r="607" spans="1:4" x14ac:dyDescent="0.45">
      <c r="A607" s="7">
        <v>45465</v>
      </c>
      <c r="B607" t="s">
        <v>93</v>
      </c>
      <c r="C607" t="s">
        <v>106</v>
      </c>
      <c r="D607" s="8">
        <v>179.87</v>
      </c>
    </row>
    <row r="608" spans="1:4" x14ac:dyDescent="0.45">
      <c r="A608" s="7">
        <v>45835</v>
      </c>
      <c r="B608" t="s">
        <v>95</v>
      </c>
      <c r="C608" t="s">
        <v>99</v>
      </c>
      <c r="D608" s="8">
        <v>118.14</v>
      </c>
    </row>
    <row r="609" spans="1:4" x14ac:dyDescent="0.45">
      <c r="A609" s="7">
        <v>45675</v>
      </c>
      <c r="B609" t="s">
        <v>97</v>
      </c>
      <c r="C609" t="s">
        <v>98</v>
      </c>
      <c r="D609" s="8">
        <v>54.75</v>
      </c>
    </row>
    <row r="610" spans="1:4" x14ac:dyDescent="0.45">
      <c r="A610" s="7">
        <v>45803</v>
      </c>
      <c r="B610" t="s">
        <v>93</v>
      </c>
      <c r="C610" t="s">
        <v>103</v>
      </c>
      <c r="D610" s="8">
        <v>114.8</v>
      </c>
    </row>
    <row r="611" spans="1:4" x14ac:dyDescent="0.45">
      <c r="A611" s="7">
        <v>46186</v>
      </c>
      <c r="B611" t="s">
        <v>97</v>
      </c>
      <c r="C611" t="s">
        <v>98</v>
      </c>
      <c r="D611" s="8">
        <v>435.18</v>
      </c>
    </row>
    <row r="612" spans="1:4" x14ac:dyDescent="0.45">
      <c r="A612" s="7">
        <v>45652</v>
      </c>
      <c r="B612" t="s">
        <v>93</v>
      </c>
      <c r="C612" t="s">
        <v>106</v>
      </c>
      <c r="D612" s="8">
        <v>137.30000000000001</v>
      </c>
    </row>
    <row r="613" spans="1:4" x14ac:dyDescent="0.45">
      <c r="A613" s="7">
        <v>45460</v>
      </c>
      <c r="B613" t="s">
        <v>97</v>
      </c>
      <c r="C613" t="s">
        <v>107</v>
      </c>
      <c r="D613" s="8">
        <v>442.98</v>
      </c>
    </row>
    <row r="614" spans="1:4" x14ac:dyDescent="0.45">
      <c r="A614" s="7">
        <v>45809</v>
      </c>
      <c r="B614" t="s">
        <v>95</v>
      </c>
      <c r="C614" t="s">
        <v>102</v>
      </c>
      <c r="D614" s="8">
        <v>483.35</v>
      </c>
    </row>
    <row r="615" spans="1:4" x14ac:dyDescent="0.45">
      <c r="A615" s="7">
        <v>45453</v>
      </c>
      <c r="B615" t="s">
        <v>95</v>
      </c>
      <c r="C615" t="s">
        <v>109</v>
      </c>
      <c r="D615" s="8">
        <v>-22.21</v>
      </c>
    </row>
    <row r="616" spans="1:4" x14ac:dyDescent="0.45">
      <c r="A616" s="7">
        <v>46010</v>
      </c>
      <c r="B616" t="s">
        <v>97</v>
      </c>
      <c r="C616" t="s">
        <v>98</v>
      </c>
      <c r="D616" s="8">
        <v>261.13</v>
      </c>
    </row>
    <row r="617" spans="1:4" x14ac:dyDescent="0.45">
      <c r="A617" s="7">
        <v>45946</v>
      </c>
      <c r="B617" t="s">
        <v>97</v>
      </c>
      <c r="C617" t="s">
        <v>104</v>
      </c>
      <c r="D617" s="8">
        <v>237.07</v>
      </c>
    </row>
    <row r="618" spans="1:4" x14ac:dyDescent="0.45">
      <c r="A618" s="7">
        <v>46052</v>
      </c>
      <c r="B618" t="s">
        <v>93</v>
      </c>
      <c r="C618" t="s">
        <v>106</v>
      </c>
      <c r="D618" s="8">
        <v>-52.88</v>
      </c>
    </row>
    <row r="619" spans="1:4" x14ac:dyDescent="0.45">
      <c r="A619" s="7">
        <v>45642</v>
      </c>
      <c r="B619" t="s">
        <v>93</v>
      </c>
      <c r="C619" t="s">
        <v>100</v>
      </c>
      <c r="D619" s="8">
        <v>295.68</v>
      </c>
    </row>
    <row r="620" spans="1:4" x14ac:dyDescent="0.45">
      <c r="A620" s="7">
        <v>45877</v>
      </c>
      <c r="B620" t="s">
        <v>93</v>
      </c>
      <c r="C620" t="s">
        <v>106</v>
      </c>
      <c r="D620" s="8">
        <v>389.44</v>
      </c>
    </row>
    <row r="621" spans="1:4" x14ac:dyDescent="0.45">
      <c r="A621" s="7">
        <v>45534</v>
      </c>
      <c r="B621" t="s">
        <v>97</v>
      </c>
      <c r="C621" t="s">
        <v>104</v>
      </c>
      <c r="D621" s="8">
        <v>386.76</v>
      </c>
    </row>
    <row r="622" spans="1:4" x14ac:dyDescent="0.45">
      <c r="A622" s="7">
        <v>45378</v>
      </c>
      <c r="B622" t="s">
        <v>93</v>
      </c>
      <c r="C622" t="s">
        <v>94</v>
      </c>
      <c r="D622" s="8">
        <v>69.459999999999994</v>
      </c>
    </row>
    <row r="623" spans="1:4" x14ac:dyDescent="0.45">
      <c r="A623" s="7">
        <v>45651</v>
      </c>
      <c r="B623" t="s">
        <v>97</v>
      </c>
      <c r="C623" t="s">
        <v>101</v>
      </c>
      <c r="D623" s="8">
        <v>-111.31</v>
      </c>
    </row>
    <row r="624" spans="1:4" x14ac:dyDescent="0.45">
      <c r="A624" s="7">
        <v>46159</v>
      </c>
      <c r="B624" t="s">
        <v>93</v>
      </c>
      <c r="C624" t="s">
        <v>94</v>
      </c>
      <c r="D624" s="8">
        <v>-133.49</v>
      </c>
    </row>
    <row r="625" spans="1:4" x14ac:dyDescent="0.45">
      <c r="A625" s="7">
        <v>46012</v>
      </c>
      <c r="B625" t="s">
        <v>95</v>
      </c>
      <c r="C625" t="s">
        <v>108</v>
      </c>
      <c r="D625" s="8">
        <v>199.58</v>
      </c>
    </row>
    <row r="626" spans="1:4" x14ac:dyDescent="0.45">
      <c r="A626" s="7">
        <v>45335</v>
      </c>
      <c r="B626" t="s">
        <v>95</v>
      </c>
      <c r="C626" t="s">
        <v>99</v>
      </c>
      <c r="D626" s="8">
        <v>-49.55</v>
      </c>
    </row>
    <row r="627" spans="1:4" x14ac:dyDescent="0.45">
      <c r="A627" s="7">
        <v>46143</v>
      </c>
      <c r="B627" t="s">
        <v>97</v>
      </c>
      <c r="C627" t="s">
        <v>104</v>
      </c>
      <c r="D627" s="8">
        <v>2.38</v>
      </c>
    </row>
    <row r="628" spans="1:4" x14ac:dyDescent="0.45">
      <c r="A628" s="7">
        <v>45774</v>
      </c>
      <c r="B628" t="s">
        <v>95</v>
      </c>
      <c r="C628" t="s">
        <v>102</v>
      </c>
      <c r="D628" s="8">
        <v>-144.37</v>
      </c>
    </row>
    <row r="629" spans="1:4" x14ac:dyDescent="0.45">
      <c r="A629" s="7">
        <v>45687</v>
      </c>
      <c r="B629" t="s">
        <v>93</v>
      </c>
      <c r="C629" t="s">
        <v>103</v>
      </c>
      <c r="D629" s="8">
        <v>22.03</v>
      </c>
    </row>
    <row r="630" spans="1:4" x14ac:dyDescent="0.45">
      <c r="A630" s="7">
        <v>45789</v>
      </c>
      <c r="B630" t="s">
        <v>93</v>
      </c>
      <c r="C630" t="s">
        <v>94</v>
      </c>
      <c r="D630" s="8">
        <v>-130.80000000000001</v>
      </c>
    </row>
    <row r="631" spans="1:4" x14ac:dyDescent="0.45">
      <c r="A631" s="7">
        <v>45980</v>
      </c>
      <c r="B631" t="s">
        <v>95</v>
      </c>
      <c r="C631" t="s">
        <v>109</v>
      </c>
      <c r="D631" s="8">
        <v>22.01</v>
      </c>
    </row>
    <row r="632" spans="1:4" x14ac:dyDescent="0.45">
      <c r="A632" s="7">
        <v>45480</v>
      </c>
      <c r="B632" t="s">
        <v>93</v>
      </c>
      <c r="C632" t="s">
        <v>100</v>
      </c>
      <c r="D632" s="8">
        <v>-117.79</v>
      </c>
    </row>
    <row r="633" spans="1:4" x14ac:dyDescent="0.45">
      <c r="A633" s="7">
        <v>45502</v>
      </c>
      <c r="B633" t="s">
        <v>95</v>
      </c>
      <c r="C633" t="s">
        <v>108</v>
      </c>
      <c r="D633" s="8">
        <v>-113.18</v>
      </c>
    </row>
    <row r="634" spans="1:4" x14ac:dyDescent="0.45">
      <c r="A634" s="7">
        <v>46005</v>
      </c>
      <c r="B634" t="s">
        <v>93</v>
      </c>
      <c r="C634" t="s">
        <v>94</v>
      </c>
      <c r="D634" s="8">
        <v>320.42</v>
      </c>
    </row>
    <row r="635" spans="1:4" x14ac:dyDescent="0.45">
      <c r="A635" s="7">
        <v>45746</v>
      </c>
      <c r="B635" t="s">
        <v>95</v>
      </c>
      <c r="C635" t="s">
        <v>99</v>
      </c>
      <c r="D635" s="8">
        <v>409.96</v>
      </c>
    </row>
    <row r="636" spans="1:4" x14ac:dyDescent="0.45">
      <c r="A636" s="7">
        <v>45297</v>
      </c>
      <c r="B636" t="s">
        <v>97</v>
      </c>
      <c r="C636" t="s">
        <v>101</v>
      </c>
      <c r="D636" s="8">
        <v>283.55</v>
      </c>
    </row>
    <row r="637" spans="1:4" x14ac:dyDescent="0.45">
      <c r="A637" s="7">
        <v>45616</v>
      </c>
      <c r="B637" t="s">
        <v>93</v>
      </c>
      <c r="C637" t="s">
        <v>100</v>
      </c>
      <c r="D637" s="8">
        <v>397.83</v>
      </c>
    </row>
    <row r="638" spans="1:4" x14ac:dyDescent="0.45">
      <c r="A638" s="7">
        <v>46115</v>
      </c>
      <c r="B638" t="s">
        <v>95</v>
      </c>
      <c r="C638" t="s">
        <v>105</v>
      </c>
      <c r="D638" s="8">
        <v>305.3</v>
      </c>
    </row>
    <row r="639" spans="1:4" x14ac:dyDescent="0.45">
      <c r="A639" s="7">
        <v>46114</v>
      </c>
      <c r="B639" t="s">
        <v>95</v>
      </c>
      <c r="C639" t="s">
        <v>108</v>
      </c>
      <c r="D639" s="8">
        <v>486.42</v>
      </c>
    </row>
    <row r="640" spans="1:4" x14ac:dyDescent="0.45">
      <c r="A640" s="7">
        <v>45666</v>
      </c>
      <c r="B640" t="s">
        <v>95</v>
      </c>
      <c r="C640" t="s">
        <v>105</v>
      </c>
      <c r="D640" s="8">
        <v>172.65</v>
      </c>
    </row>
    <row r="641" spans="1:4" x14ac:dyDescent="0.45">
      <c r="A641" s="7">
        <v>45948</v>
      </c>
      <c r="B641" t="s">
        <v>95</v>
      </c>
      <c r="C641" t="s">
        <v>102</v>
      </c>
      <c r="D641" s="8">
        <v>-2.15</v>
      </c>
    </row>
    <row r="642" spans="1:4" x14ac:dyDescent="0.45">
      <c r="A642" s="7">
        <v>45452</v>
      </c>
      <c r="B642" t="s">
        <v>95</v>
      </c>
      <c r="C642" t="s">
        <v>108</v>
      </c>
      <c r="D642" s="8">
        <v>89.34</v>
      </c>
    </row>
    <row r="643" spans="1:4" x14ac:dyDescent="0.45">
      <c r="A643" s="7">
        <v>45580</v>
      </c>
      <c r="B643" t="s">
        <v>93</v>
      </c>
      <c r="C643" t="s">
        <v>100</v>
      </c>
      <c r="D643" s="8">
        <v>455.85</v>
      </c>
    </row>
    <row r="644" spans="1:4" x14ac:dyDescent="0.45">
      <c r="A644" s="7">
        <v>45570</v>
      </c>
      <c r="B644" t="s">
        <v>93</v>
      </c>
      <c r="C644" t="s">
        <v>100</v>
      </c>
      <c r="D644" s="8">
        <v>-15.44</v>
      </c>
    </row>
    <row r="645" spans="1:4" x14ac:dyDescent="0.45">
      <c r="A645" s="7">
        <v>46131</v>
      </c>
      <c r="B645" t="s">
        <v>97</v>
      </c>
      <c r="C645" t="s">
        <v>98</v>
      </c>
      <c r="D645" s="8">
        <v>111.83</v>
      </c>
    </row>
    <row r="646" spans="1:4" x14ac:dyDescent="0.45">
      <c r="A646" s="7">
        <v>45745</v>
      </c>
      <c r="B646" t="s">
        <v>93</v>
      </c>
      <c r="C646" t="s">
        <v>100</v>
      </c>
      <c r="D646" s="8">
        <v>419.68</v>
      </c>
    </row>
    <row r="647" spans="1:4" x14ac:dyDescent="0.45">
      <c r="A647" s="7">
        <v>45523</v>
      </c>
      <c r="B647" t="s">
        <v>95</v>
      </c>
      <c r="C647" t="s">
        <v>96</v>
      </c>
      <c r="D647" s="8">
        <v>-46.75</v>
      </c>
    </row>
    <row r="648" spans="1:4" x14ac:dyDescent="0.45">
      <c r="A648" s="7">
        <v>45972</v>
      </c>
      <c r="B648" t="s">
        <v>93</v>
      </c>
      <c r="C648" t="s">
        <v>94</v>
      </c>
      <c r="D648" s="8">
        <v>439.8</v>
      </c>
    </row>
    <row r="649" spans="1:4" x14ac:dyDescent="0.45">
      <c r="A649" s="7">
        <v>45687</v>
      </c>
      <c r="B649" t="s">
        <v>93</v>
      </c>
      <c r="C649" t="s">
        <v>100</v>
      </c>
      <c r="D649" s="8">
        <v>219.65</v>
      </c>
    </row>
    <row r="650" spans="1:4" x14ac:dyDescent="0.45">
      <c r="A650" s="7">
        <v>45935</v>
      </c>
      <c r="B650" t="s">
        <v>93</v>
      </c>
      <c r="C650" t="s">
        <v>100</v>
      </c>
      <c r="D650" s="8">
        <v>263.89999999999998</v>
      </c>
    </row>
    <row r="651" spans="1:4" x14ac:dyDescent="0.45">
      <c r="A651" s="7">
        <v>45495</v>
      </c>
      <c r="B651" t="s">
        <v>97</v>
      </c>
      <c r="C651" t="s">
        <v>101</v>
      </c>
      <c r="D651" s="8">
        <v>-58.45</v>
      </c>
    </row>
    <row r="652" spans="1:4" x14ac:dyDescent="0.45">
      <c r="A652" s="7">
        <v>45382</v>
      </c>
      <c r="B652" t="s">
        <v>93</v>
      </c>
      <c r="C652" t="s">
        <v>103</v>
      </c>
      <c r="D652" s="8">
        <v>31.32</v>
      </c>
    </row>
    <row r="653" spans="1:4" x14ac:dyDescent="0.45">
      <c r="A653" s="7">
        <v>45902</v>
      </c>
      <c r="B653" t="s">
        <v>93</v>
      </c>
      <c r="C653" t="s">
        <v>106</v>
      </c>
      <c r="D653" s="8">
        <v>476.43</v>
      </c>
    </row>
    <row r="654" spans="1:4" x14ac:dyDescent="0.45">
      <c r="A654" s="7">
        <v>45799</v>
      </c>
      <c r="B654" t="s">
        <v>97</v>
      </c>
      <c r="C654" t="s">
        <v>104</v>
      </c>
      <c r="D654" s="8">
        <v>116.07</v>
      </c>
    </row>
    <row r="655" spans="1:4" x14ac:dyDescent="0.45">
      <c r="A655" s="7">
        <v>46151</v>
      </c>
      <c r="B655" t="s">
        <v>97</v>
      </c>
      <c r="C655" t="s">
        <v>107</v>
      </c>
      <c r="D655" s="8">
        <v>60.99</v>
      </c>
    </row>
    <row r="656" spans="1:4" x14ac:dyDescent="0.45">
      <c r="A656" s="7">
        <v>45776</v>
      </c>
      <c r="B656" t="s">
        <v>97</v>
      </c>
      <c r="C656" t="s">
        <v>104</v>
      </c>
      <c r="D656" s="8">
        <v>422.43</v>
      </c>
    </row>
    <row r="657" spans="1:4" x14ac:dyDescent="0.45">
      <c r="A657" s="7">
        <v>45970</v>
      </c>
      <c r="B657" t="s">
        <v>93</v>
      </c>
      <c r="C657" t="s">
        <v>94</v>
      </c>
      <c r="D657" s="8">
        <v>226.04</v>
      </c>
    </row>
    <row r="658" spans="1:4" x14ac:dyDescent="0.45">
      <c r="A658" s="7">
        <v>45798</v>
      </c>
      <c r="B658" t="s">
        <v>97</v>
      </c>
      <c r="C658" t="s">
        <v>98</v>
      </c>
      <c r="D658" s="8">
        <v>101.11</v>
      </c>
    </row>
    <row r="659" spans="1:4" x14ac:dyDescent="0.45">
      <c r="A659" s="7">
        <v>45446</v>
      </c>
      <c r="B659" t="s">
        <v>93</v>
      </c>
      <c r="C659" t="s">
        <v>94</v>
      </c>
      <c r="D659" s="8">
        <v>16.850000000000001</v>
      </c>
    </row>
    <row r="660" spans="1:4" x14ac:dyDescent="0.45">
      <c r="A660" s="7">
        <v>45682</v>
      </c>
      <c r="B660" t="s">
        <v>97</v>
      </c>
      <c r="C660" t="s">
        <v>101</v>
      </c>
      <c r="D660" s="8">
        <v>340.46</v>
      </c>
    </row>
    <row r="661" spans="1:4" x14ac:dyDescent="0.45">
      <c r="A661" s="7">
        <v>46100</v>
      </c>
      <c r="B661" t="s">
        <v>97</v>
      </c>
      <c r="C661" t="s">
        <v>98</v>
      </c>
      <c r="D661" s="8">
        <v>175.25</v>
      </c>
    </row>
    <row r="662" spans="1:4" x14ac:dyDescent="0.45">
      <c r="A662" s="7">
        <v>45484</v>
      </c>
      <c r="B662" t="s">
        <v>93</v>
      </c>
      <c r="C662" t="s">
        <v>100</v>
      </c>
      <c r="D662" s="8">
        <v>402.45</v>
      </c>
    </row>
    <row r="663" spans="1:4" x14ac:dyDescent="0.45">
      <c r="A663" s="7">
        <v>45636</v>
      </c>
      <c r="B663" t="s">
        <v>95</v>
      </c>
      <c r="C663" t="s">
        <v>109</v>
      </c>
      <c r="D663" s="8">
        <v>241.29</v>
      </c>
    </row>
    <row r="664" spans="1:4" x14ac:dyDescent="0.45">
      <c r="A664" s="7">
        <v>45629</v>
      </c>
      <c r="B664" t="s">
        <v>95</v>
      </c>
      <c r="C664" t="s">
        <v>105</v>
      </c>
      <c r="D664" s="8">
        <v>-131.72</v>
      </c>
    </row>
    <row r="665" spans="1:4" x14ac:dyDescent="0.45">
      <c r="A665" s="7">
        <v>45357</v>
      </c>
      <c r="B665" t="s">
        <v>93</v>
      </c>
      <c r="C665" t="s">
        <v>100</v>
      </c>
      <c r="D665" s="8">
        <v>364.62</v>
      </c>
    </row>
    <row r="666" spans="1:4" x14ac:dyDescent="0.45">
      <c r="A666" s="7">
        <v>45937</v>
      </c>
      <c r="B666" t="s">
        <v>93</v>
      </c>
      <c r="C666" t="s">
        <v>94</v>
      </c>
      <c r="D666" s="8">
        <v>381.65</v>
      </c>
    </row>
    <row r="667" spans="1:4" x14ac:dyDescent="0.45">
      <c r="A667" s="7">
        <v>45994</v>
      </c>
      <c r="B667" t="s">
        <v>93</v>
      </c>
      <c r="C667" t="s">
        <v>100</v>
      </c>
      <c r="D667" s="8">
        <v>162.63999999999999</v>
      </c>
    </row>
    <row r="668" spans="1:4" x14ac:dyDescent="0.45">
      <c r="A668" s="7">
        <v>45632</v>
      </c>
      <c r="B668" t="s">
        <v>95</v>
      </c>
      <c r="C668" t="s">
        <v>102</v>
      </c>
      <c r="D668" s="8">
        <v>27.42</v>
      </c>
    </row>
    <row r="669" spans="1:4" x14ac:dyDescent="0.45">
      <c r="A669" s="7">
        <v>45340</v>
      </c>
      <c r="B669" t="s">
        <v>93</v>
      </c>
      <c r="C669" t="s">
        <v>106</v>
      </c>
      <c r="D669" s="8">
        <v>54.16</v>
      </c>
    </row>
    <row r="670" spans="1:4" x14ac:dyDescent="0.45">
      <c r="A670" s="7">
        <v>45861</v>
      </c>
      <c r="B670" t="s">
        <v>95</v>
      </c>
      <c r="C670" t="s">
        <v>108</v>
      </c>
      <c r="D670" s="8">
        <v>268.08999999999997</v>
      </c>
    </row>
    <row r="671" spans="1:4" x14ac:dyDescent="0.45">
      <c r="A671" s="7">
        <v>46055</v>
      </c>
      <c r="B671" t="s">
        <v>97</v>
      </c>
      <c r="C671" t="s">
        <v>101</v>
      </c>
      <c r="D671" s="8">
        <v>-44.01</v>
      </c>
    </row>
    <row r="672" spans="1:4" x14ac:dyDescent="0.45">
      <c r="A672" s="7">
        <v>45537</v>
      </c>
      <c r="B672" t="s">
        <v>97</v>
      </c>
      <c r="C672" t="s">
        <v>101</v>
      </c>
      <c r="D672" s="8">
        <v>-83.93</v>
      </c>
    </row>
    <row r="673" spans="1:4" x14ac:dyDescent="0.45">
      <c r="A673" s="7">
        <v>45430</v>
      </c>
      <c r="B673" t="s">
        <v>97</v>
      </c>
      <c r="C673" t="s">
        <v>98</v>
      </c>
      <c r="D673" s="8">
        <v>80.7</v>
      </c>
    </row>
    <row r="674" spans="1:4" x14ac:dyDescent="0.45">
      <c r="A674" s="7">
        <v>45854</v>
      </c>
      <c r="B674" t="s">
        <v>93</v>
      </c>
      <c r="C674" t="s">
        <v>100</v>
      </c>
      <c r="D674" s="8">
        <v>244.1</v>
      </c>
    </row>
    <row r="675" spans="1:4" x14ac:dyDescent="0.45">
      <c r="A675" s="7">
        <v>46130</v>
      </c>
      <c r="B675" t="s">
        <v>93</v>
      </c>
      <c r="C675" t="s">
        <v>106</v>
      </c>
      <c r="D675" s="8">
        <v>499.57</v>
      </c>
    </row>
    <row r="676" spans="1:4" x14ac:dyDescent="0.45">
      <c r="A676" s="7">
        <v>46145</v>
      </c>
      <c r="B676" t="s">
        <v>95</v>
      </c>
      <c r="C676" t="s">
        <v>102</v>
      </c>
      <c r="D676" s="8">
        <v>89.18</v>
      </c>
    </row>
    <row r="677" spans="1:4" x14ac:dyDescent="0.45">
      <c r="A677" s="7">
        <v>45860</v>
      </c>
      <c r="B677" t="s">
        <v>93</v>
      </c>
      <c r="C677" t="s">
        <v>100</v>
      </c>
      <c r="D677" s="8">
        <v>440.08</v>
      </c>
    </row>
    <row r="678" spans="1:4" x14ac:dyDescent="0.45">
      <c r="A678" s="7">
        <v>45959</v>
      </c>
      <c r="B678" t="s">
        <v>97</v>
      </c>
      <c r="C678" t="s">
        <v>98</v>
      </c>
      <c r="D678" s="8">
        <v>310.55</v>
      </c>
    </row>
    <row r="679" spans="1:4" x14ac:dyDescent="0.45">
      <c r="A679" s="7">
        <v>45984</v>
      </c>
      <c r="B679" t="s">
        <v>97</v>
      </c>
      <c r="C679" t="s">
        <v>107</v>
      </c>
      <c r="D679" s="8">
        <v>461.68</v>
      </c>
    </row>
    <row r="680" spans="1:4" x14ac:dyDescent="0.45">
      <c r="A680" s="7">
        <v>45680</v>
      </c>
      <c r="B680" t="s">
        <v>95</v>
      </c>
      <c r="C680" t="s">
        <v>109</v>
      </c>
      <c r="D680" s="8">
        <v>-23.06</v>
      </c>
    </row>
    <row r="681" spans="1:4" x14ac:dyDescent="0.45">
      <c r="A681" s="7">
        <v>45825</v>
      </c>
      <c r="B681" t="s">
        <v>97</v>
      </c>
      <c r="C681" t="s">
        <v>107</v>
      </c>
      <c r="D681" s="8">
        <v>278</v>
      </c>
    </row>
    <row r="682" spans="1:4" x14ac:dyDescent="0.45">
      <c r="A682" s="7">
        <v>45700</v>
      </c>
      <c r="B682" t="s">
        <v>93</v>
      </c>
      <c r="C682" t="s">
        <v>94</v>
      </c>
      <c r="D682" s="8">
        <v>43.14</v>
      </c>
    </row>
    <row r="683" spans="1:4" x14ac:dyDescent="0.45">
      <c r="A683" s="7">
        <v>45859</v>
      </c>
      <c r="B683" t="s">
        <v>97</v>
      </c>
      <c r="C683" t="s">
        <v>107</v>
      </c>
      <c r="D683" s="8">
        <v>431.36</v>
      </c>
    </row>
    <row r="684" spans="1:4" x14ac:dyDescent="0.45">
      <c r="A684" s="7">
        <v>46187</v>
      </c>
      <c r="B684" t="s">
        <v>95</v>
      </c>
      <c r="C684" t="s">
        <v>105</v>
      </c>
      <c r="D684" s="8">
        <v>-130.76</v>
      </c>
    </row>
    <row r="685" spans="1:4" x14ac:dyDescent="0.45">
      <c r="A685" s="7">
        <v>45517</v>
      </c>
      <c r="B685" t="s">
        <v>97</v>
      </c>
      <c r="C685" t="s">
        <v>104</v>
      </c>
      <c r="D685" s="8">
        <v>383.59</v>
      </c>
    </row>
    <row r="686" spans="1:4" x14ac:dyDescent="0.45">
      <c r="A686" s="7">
        <v>45797</v>
      </c>
      <c r="B686" t="s">
        <v>93</v>
      </c>
      <c r="C686" t="s">
        <v>94</v>
      </c>
      <c r="D686" s="8">
        <v>46.02</v>
      </c>
    </row>
    <row r="687" spans="1:4" x14ac:dyDescent="0.45">
      <c r="A687" s="7">
        <v>45910</v>
      </c>
      <c r="B687" t="s">
        <v>95</v>
      </c>
      <c r="C687" t="s">
        <v>96</v>
      </c>
      <c r="D687" s="8">
        <v>61.04</v>
      </c>
    </row>
    <row r="688" spans="1:4" x14ac:dyDescent="0.45">
      <c r="A688" s="7">
        <v>45482</v>
      </c>
      <c r="B688" t="s">
        <v>95</v>
      </c>
      <c r="C688" t="s">
        <v>108</v>
      </c>
      <c r="D688" s="8">
        <v>407.18</v>
      </c>
    </row>
    <row r="689" spans="1:4" x14ac:dyDescent="0.45">
      <c r="A689" s="7">
        <v>45481</v>
      </c>
      <c r="B689" t="s">
        <v>93</v>
      </c>
      <c r="C689" t="s">
        <v>94</v>
      </c>
      <c r="D689" s="8">
        <v>62.39</v>
      </c>
    </row>
    <row r="690" spans="1:4" x14ac:dyDescent="0.45">
      <c r="A690" s="7">
        <v>45853</v>
      </c>
      <c r="B690" t="s">
        <v>97</v>
      </c>
      <c r="C690" t="s">
        <v>98</v>
      </c>
      <c r="D690" s="8">
        <v>258.68</v>
      </c>
    </row>
    <row r="691" spans="1:4" x14ac:dyDescent="0.45">
      <c r="A691" s="7">
        <v>45756</v>
      </c>
      <c r="B691" t="s">
        <v>97</v>
      </c>
      <c r="C691" t="s">
        <v>107</v>
      </c>
      <c r="D691" s="8">
        <v>28.74</v>
      </c>
    </row>
    <row r="692" spans="1:4" x14ac:dyDescent="0.45">
      <c r="A692" s="7">
        <v>45572</v>
      </c>
      <c r="B692" t="s">
        <v>97</v>
      </c>
      <c r="C692" t="s">
        <v>101</v>
      </c>
      <c r="D692" s="8">
        <v>302.04000000000002</v>
      </c>
    </row>
    <row r="693" spans="1:4" x14ac:dyDescent="0.45">
      <c r="A693" s="7">
        <v>45602</v>
      </c>
      <c r="B693" t="s">
        <v>95</v>
      </c>
      <c r="C693" t="s">
        <v>105</v>
      </c>
      <c r="D693" s="8">
        <v>-33.31</v>
      </c>
    </row>
    <row r="694" spans="1:4" x14ac:dyDescent="0.45">
      <c r="A694" s="7">
        <v>46102</v>
      </c>
      <c r="B694" t="s">
        <v>95</v>
      </c>
      <c r="C694" t="s">
        <v>102</v>
      </c>
      <c r="D694" s="8">
        <v>187.9</v>
      </c>
    </row>
    <row r="695" spans="1:4" x14ac:dyDescent="0.45">
      <c r="A695" s="7">
        <v>46136</v>
      </c>
      <c r="B695" t="s">
        <v>95</v>
      </c>
      <c r="C695" t="s">
        <v>109</v>
      </c>
      <c r="D695" s="8">
        <v>51.11</v>
      </c>
    </row>
    <row r="696" spans="1:4" x14ac:dyDescent="0.45">
      <c r="A696" s="7">
        <v>45299</v>
      </c>
      <c r="B696" t="s">
        <v>97</v>
      </c>
      <c r="C696" t="s">
        <v>101</v>
      </c>
      <c r="D696" s="8">
        <v>37.520000000000003</v>
      </c>
    </row>
    <row r="697" spans="1:4" x14ac:dyDescent="0.45">
      <c r="A697" s="7">
        <v>46165</v>
      </c>
      <c r="B697" t="s">
        <v>97</v>
      </c>
      <c r="C697" t="s">
        <v>107</v>
      </c>
      <c r="D697" s="8">
        <v>499.94</v>
      </c>
    </row>
    <row r="698" spans="1:4" x14ac:dyDescent="0.45">
      <c r="A698" s="7">
        <v>45633</v>
      </c>
      <c r="B698" t="s">
        <v>97</v>
      </c>
      <c r="C698" t="s">
        <v>104</v>
      </c>
      <c r="D698" s="8">
        <v>-123.03</v>
      </c>
    </row>
    <row r="699" spans="1:4" x14ac:dyDescent="0.45">
      <c r="A699" s="7">
        <v>45301</v>
      </c>
      <c r="B699" t="s">
        <v>97</v>
      </c>
      <c r="C699" t="s">
        <v>104</v>
      </c>
      <c r="D699" s="8">
        <v>-23.68</v>
      </c>
    </row>
    <row r="700" spans="1:4" x14ac:dyDescent="0.45">
      <c r="A700" s="7">
        <v>45489</v>
      </c>
      <c r="B700" t="s">
        <v>95</v>
      </c>
      <c r="C700" t="s">
        <v>99</v>
      </c>
      <c r="D700" s="8">
        <v>269.83999999999997</v>
      </c>
    </row>
    <row r="701" spans="1:4" x14ac:dyDescent="0.45">
      <c r="A701" s="7">
        <v>45862</v>
      </c>
      <c r="B701" t="s">
        <v>93</v>
      </c>
      <c r="C701" t="s">
        <v>103</v>
      </c>
      <c r="D701" s="8">
        <v>487.81</v>
      </c>
    </row>
    <row r="702" spans="1:4" x14ac:dyDescent="0.45">
      <c r="A702" s="7">
        <v>46052</v>
      </c>
      <c r="B702" t="s">
        <v>95</v>
      </c>
      <c r="C702" t="s">
        <v>105</v>
      </c>
      <c r="D702" s="8">
        <v>475.59</v>
      </c>
    </row>
    <row r="703" spans="1:4" x14ac:dyDescent="0.45">
      <c r="A703" s="7">
        <v>45916</v>
      </c>
      <c r="B703" t="s">
        <v>95</v>
      </c>
      <c r="C703" t="s">
        <v>108</v>
      </c>
      <c r="D703" s="8">
        <v>365.73</v>
      </c>
    </row>
    <row r="704" spans="1:4" x14ac:dyDescent="0.45">
      <c r="A704" s="7">
        <v>45613</v>
      </c>
      <c r="B704" t="s">
        <v>93</v>
      </c>
      <c r="C704" t="s">
        <v>103</v>
      </c>
      <c r="D704" s="8">
        <v>443.29</v>
      </c>
    </row>
    <row r="705" spans="1:4" x14ac:dyDescent="0.45">
      <c r="A705" s="7">
        <v>45515</v>
      </c>
      <c r="B705" t="s">
        <v>97</v>
      </c>
      <c r="C705" t="s">
        <v>104</v>
      </c>
      <c r="D705" s="8">
        <v>399.1</v>
      </c>
    </row>
    <row r="706" spans="1:4" x14ac:dyDescent="0.45">
      <c r="A706" s="7">
        <v>45777</v>
      </c>
      <c r="B706" t="s">
        <v>93</v>
      </c>
      <c r="C706" t="s">
        <v>94</v>
      </c>
      <c r="D706" s="8">
        <v>419.21</v>
      </c>
    </row>
    <row r="707" spans="1:4" x14ac:dyDescent="0.45">
      <c r="A707" s="7">
        <v>45308</v>
      </c>
      <c r="B707" t="s">
        <v>95</v>
      </c>
      <c r="C707" t="s">
        <v>96</v>
      </c>
      <c r="D707" s="8">
        <v>139.36000000000001</v>
      </c>
    </row>
    <row r="708" spans="1:4" x14ac:dyDescent="0.45">
      <c r="A708" s="7">
        <v>46106</v>
      </c>
      <c r="B708" t="s">
        <v>93</v>
      </c>
      <c r="C708" t="s">
        <v>94</v>
      </c>
      <c r="D708" s="8">
        <v>54.33</v>
      </c>
    </row>
    <row r="709" spans="1:4" x14ac:dyDescent="0.45">
      <c r="A709" s="7">
        <v>45890</v>
      </c>
      <c r="B709" t="s">
        <v>93</v>
      </c>
      <c r="C709" t="s">
        <v>106</v>
      </c>
      <c r="D709" s="8">
        <v>-77.739999999999995</v>
      </c>
    </row>
    <row r="710" spans="1:4" x14ac:dyDescent="0.45">
      <c r="A710" s="7">
        <v>45371</v>
      </c>
      <c r="B710" t="s">
        <v>97</v>
      </c>
      <c r="C710" t="s">
        <v>98</v>
      </c>
      <c r="D710" s="8">
        <v>-75</v>
      </c>
    </row>
    <row r="711" spans="1:4" x14ac:dyDescent="0.45">
      <c r="A711" s="7">
        <v>45643</v>
      </c>
      <c r="B711" t="s">
        <v>97</v>
      </c>
      <c r="C711" t="s">
        <v>107</v>
      </c>
      <c r="D711" s="8">
        <v>-147.62</v>
      </c>
    </row>
    <row r="712" spans="1:4" x14ac:dyDescent="0.45">
      <c r="A712" s="7">
        <v>46122</v>
      </c>
      <c r="B712" t="s">
        <v>95</v>
      </c>
      <c r="C712" t="s">
        <v>105</v>
      </c>
      <c r="D712" s="8">
        <v>311.89</v>
      </c>
    </row>
    <row r="713" spans="1:4" x14ac:dyDescent="0.45">
      <c r="A713" s="7">
        <v>46125</v>
      </c>
      <c r="B713" t="s">
        <v>95</v>
      </c>
      <c r="C713" t="s">
        <v>99</v>
      </c>
      <c r="D713" s="8">
        <v>499.88</v>
      </c>
    </row>
    <row r="714" spans="1:4" x14ac:dyDescent="0.45">
      <c r="A714" s="7">
        <v>46150</v>
      </c>
      <c r="B714" t="s">
        <v>97</v>
      </c>
      <c r="C714" t="s">
        <v>104</v>
      </c>
      <c r="D714" s="8">
        <v>83.93</v>
      </c>
    </row>
    <row r="715" spans="1:4" x14ac:dyDescent="0.45">
      <c r="A715" s="7">
        <v>45883</v>
      </c>
      <c r="B715" t="s">
        <v>95</v>
      </c>
      <c r="C715" t="s">
        <v>99</v>
      </c>
      <c r="D715" s="8">
        <v>488.01</v>
      </c>
    </row>
    <row r="716" spans="1:4" x14ac:dyDescent="0.45">
      <c r="A716" s="7">
        <v>45997</v>
      </c>
      <c r="B716" t="s">
        <v>97</v>
      </c>
      <c r="C716" t="s">
        <v>104</v>
      </c>
      <c r="D716" s="8">
        <v>252.88</v>
      </c>
    </row>
    <row r="717" spans="1:4" x14ac:dyDescent="0.45">
      <c r="A717" s="7">
        <v>45431</v>
      </c>
      <c r="B717" t="s">
        <v>93</v>
      </c>
      <c r="C717" t="s">
        <v>100</v>
      </c>
      <c r="D717" s="8">
        <v>53.39</v>
      </c>
    </row>
    <row r="718" spans="1:4" x14ac:dyDescent="0.45">
      <c r="A718" s="7">
        <v>45532</v>
      </c>
      <c r="B718" t="s">
        <v>97</v>
      </c>
      <c r="C718" t="s">
        <v>98</v>
      </c>
      <c r="D718" s="8">
        <v>-89.3</v>
      </c>
    </row>
    <row r="719" spans="1:4" x14ac:dyDescent="0.45">
      <c r="A719" s="7">
        <v>45765</v>
      </c>
      <c r="B719" t="s">
        <v>93</v>
      </c>
      <c r="C719" t="s">
        <v>94</v>
      </c>
      <c r="D719" s="8">
        <v>198.4</v>
      </c>
    </row>
    <row r="720" spans="1:4" x14ac:dyDescent="0.45">
      <c r="A720" s="7">
        <v>45670</v>
      </c>
      <c r="B720" t="s">
        <v>97</v>
      </c>
      <c r="C720" t="s">
        <v>101</v>
      </c>
      <c r="D720" s="8">
        <v>-99.57</v>
      </c>
    </row>
    <row r="721" spans="1:4" x14ac:dyDescent="0.45">
      <c r="A721" s="7">
        <v>45363</v>
      </c>
      <c r="B721" t="s">
        <v>97</v>
      </c>
      <c r="C721" t="s">
        <v>101</v>
      </c>
      <c r="D721" s="8">
        <v>335.77</v>
      </c>
    </row>
    <row r="722" spans="1:4" x14ac:dyDescent="0.45">
      <c r="A722" s="7">
        <v>45428</v>
      </c>
      <c r="B722" t="s">
        <v>95</v>
      </c>
      <c r="C722" t="s">
        <v>99</v>
      </c>
      <c r="D722" s="8">
        <v>-72.42</v>
      </c>
    </row>
    <row r="723" spans="1:4" x14ac:dyDescent="0.45">
      <c r="A723" s="7">
        <v>45509</v>
      </c>
      <c r="B723" t="s">
        <v>97</v>
      </c>
      <c r="C723" t="s">
        <v>98</v>
      </c>
      <c r="D723" s="8">
        <v>186</v>
      </c>
    </row>
    <row r="724" spans="1:4" x14ac:dyDescent="0.45">
      <c r="A724" s="7">
        <v>45490</v>
      </c>
      <c r="B724" t="s">
        <v>95</v>
      </c>
      <c r="C724" t="s">
        <v>108</v>
      </c>
      <c r="D724" s="8">
        <v>-26.08</v>
      </c>
    </row>
    <row r="725" spans="1:4" x14ac:dyDescent="0.45">
      <c r="A725" s="7">
        <v>45533</v>
      </c>
      <c r="B725" t="s">
        <v>95</v>
      </c>
      <c r="C725" t="s">
        <v>99</v>
      </c>
      <c r="D725" s="8">
        <v>299.76</v>
      </c>
    </row>
    <row r="726" spans="1:4" x14ac:dyDescent="0.45">
      <c r="A726" s="7">
        <v>46061</v>
      </c>
      <c r="B726" t="s">
        <v>95</v>
      </c>
      <c r="C726" t="s">
        <v>108</v>
      </c>
      <c r="D726" s="8">
        <v>36.28</v>
      </c>
    </row>
    <row r="727" spans="1:4" x14ac:dyDescent="0.45">
      <c r="A727" s="7">
        <v>45621</v>
      </c>
      <c r="B727" t="s">
        <v>95</v>
      </c>
      <c r="C727" t="s">
        <v>102</v>
      </c>
      <c r="D727" s="8">
        <v>337.63</v>
      </c>
    </row>
    <row r="728" spans="1:4" x14ac:dyDescent="0.45">
      <c r="A728" s="7">
        <v>45840</v>
      </c>
      <c r="B728" t="s">
        <v>97</v>
      </c>
      <c r="C728" t="s">
        <v>107</v>
      </c>
      <c r="D728" s="8">
        <v>114.01</v>
      </c>
    </row>
    <row r="729" spans="1:4" x14ac:dyDescent="0.45">
      <c r="A729" s="7">
        <v>45986</v>
      </c>
      <c r="B729" t="s">
        <v>97</v>
      </c>
      <c r="C729" t="s">
        <v>107</v>
      </c>
      <c r="D729" s="8">
        <v>-71.16</v>
      </c>
    </row>
    <row r="730" spans="1:4" x14ac:dyDescent="0.45">
      <c r="A730" s="7">
        <v>46069</v>
      </c>
      <c r="B730" t="s">
        <v>93</v>
      </c>
      <c r="C730" t="s">
        <v>106</v>
      </c>
      <c r="D730" s="8">
        <v>415.76</v>
      </c>
    </row>
    <row r="731" spans="1:4" x14ac:dyDescent="0.45">
      <c r="A731" s="7">
        <v>45489</v>
      </c>
      <c r="B731" t="s">
        <v>93</v>
      </c>
      <c r="C731" t="s">
        <v>106</v>
      </c>
      <c r="D731" s="8">
        <v>73.209999999999994</v>
      </c>
    </row>
    <row r="732" spans="1:4" x14ac:dyDescent="0.45">
      <c r="A732" s="7">
        <v>45421</v>
      </c>
      <c r="B732" t="s">
        <v>95</v>
      </c>
      <c r="C732" t="s">
        <v>99</v>
      </c>
      <c r="D732" s="8">
        <v>420.28</v>
      </c>
    </row>
    <row r="733" spans="1:4" x14ac:dyDescent="0.45">
      <c r="A733" s="7">
        <v>45734</v>
      </c>
      <c r="B733" t="s">
        <v>93</v>
      </c>
      <c r="C733" t="s">
        <v>94</v>
      </c>
      <c r="D733" s="8">
        <v>187.17</v>
      </c>
    </row>
    <row r="734" spans="1:4" x14ac:dyDescent="0.45">
      <c r="A734" s="7">
        <v>45805</v>
      </c>
      <c r="B734" t="s">
        <v>95</v>
      </c>
      <c r="C734" t="s">
        <v>102</v>
      </c>
      <c r="D734" s="8">
        <v>251.49</v>
      </c>
    </row>
    <row r="735" spans="1:4" x14ac:dyDescent="0.45">
      <c r="A735" s="7">
        <v>46114</v>
      </c>
      <c r="B735" t="s">
        <v>95</v>
      </c>
      <c r="C735" t="s">
        <v>109</v>
      </c>
      <c r="D735" s="8">
        <v>179.85</v>
      </c>
    </row>
    <row r="736" spans="1:4" x14ac:dyDescent="0.45">
      <c r="A736" s="7">
        <v>46090</v>
      </c>
      <c r="B736" t="s">
        <v>95</v>
      </c>
      <c r="C736" t="s">
        <v>108</v>
      </c>
      <c r="D736" s="8">
        <v>452.98</v>
      </c>
    </row>
    <row r="737" spans="1:4" x14ac:dyDescent="0.45">
      <c r="A737" s="7">
        <v>45751</v>
      </c>
      <c r="B737" t="s">
        <v>93</v>
      </c>
      <c r="C737" t="s">
        <v>103</v>
      </c>
      <c r="D737" s="8">
        <v>269.87</v>
      </c>
    </row>
    <row r="738" spans="1:4" x14ac:dyDescent="0.45">
      <c r="A738" s="7">
        <v>45467</v>
      </c>
      <c r="B738" t="s">
        <v>97</v>
      </c>
      <c r="C738" t="s">
        <v>98</v>
      </c>
      <c r="D738" s="8">
        <v>-57.12</v>
      </c>
    </row>
    <row r="739" spans="1:4" x14ac:dyDescent="0.45">
      <c r="A739" s="7">
        <v>46060</v>
      </c>
      <c r="B739" t="s">
        <v>93</v>
      </c>
      <c r="C739" t="s">
        <v>103</v>
      </c>
      <c r="D739" s="8">
        <v>171.76</v>
      </c>
    </row>
    <row r="740" spans="1:4" x14ac:dyDescent="0.45">
      <c r="A740" s="7">
        <v>45635</v>
      </c>
      <c r="B740" t="s">
        <v>97</v>
      </c>
      <c r="C740" t="s">
        <v>98</v>
      </c>
      <c r="D740" s="8">
        <v>472.92</v>
      </c>
    </row>
    <row r="741" spans="1:4" x14ac:dyDescent="0.45">
      <c r="A741" s="7">
        <v>45686</v>
      </c>
      <c r="B741" t="s">
        <v>95</v>
      </c>
      <c r="C741" t="s">
        <v>105</v>
      </c>
      <c r="D741" s="8">
        <v>136.78</v>
      </c>
    </row>
    <row r="742" spans="1:4" x14ac:dyDescent="0.45">
      <c r="A742" s="7">
        <v>45329</v>
      </c>
      <c r="B742" t="s">
        <v>93</v>
      </c>
      <c r="C742" t="s">
        <v>100</v>
      </c>
      <c r="D742" s="8">
        <v>346.13</v>
      </c>
    </row>
    <row r="743" spans="1:4" x14ac:dyDescent="0.45">
      <c r="A743" s="7">
        <v>45643</v>
      </c>
      <c r="B743" t="s">
        <v>97</v>
      </c>
      <c r="C743" t="s">
        <v>107</v>
      </c>
      <c r="D743" s="8">
        <v>461.35</v>
      </c>
    </row>
    <row r="744" spans="1:4" x14ac:dyDescent="0.45">
      <c r="A744" s="7">
        <v>45739</v>
      </c>
      <c r="B744" t="s">
        <v>93</v>
      </c>
      <c r="C744" t="s">
        <v>100</v>
      </c>
      <c r="D744" s="8">
        <v>171.38</v>
      </c>
    </row>
    <row r="745" spans="1:4" x14ac:dyDescent="0.45">
      <c r="A745" s="7">
        <v>45812</v>
      </c>
      <c r="B745" t="s">
        <v>97</v>
      </c>
      <c r="C745" t="s">
        <v>107</v>
      </c>
      <c r="D745" s="8">
        <v>306.70999999999998</v>
      </c>
    </row>
    <row r="746" spans="1:4" x14ac:dyDescent="0.45">
      <c r="A746" s="7">
        <v>45474</v>
      </c>
      <c r="B746" t="s">
        <v>95</v>
      </c>
      <c r="C746" t="s">
        <v>99</v>
      </c>
      <c r="D746" s="8">
        <v>164.84</v>
      </c>
    </row>
    <row r="747" spans="1:4" x14ac:dyDescent="0.45">
      <c r="A747" s="7">
        <v>45367</v>
      </c>
      <c r="B747" t="s">
        <v>97</v>
      </c>
      <c r="C747" t="s">
        <v>107</v>
      </c>
      <c r="D747" s="8">
        <v>-130.46</v>
      </c>
    </row>
    <row r="748" spans="1:4" x14ac:dyDescent="0.45">
      <c r="A748" s="7">
        <v>45503</v>
      </c>
      <c r="B748" t="s">
        <v>93</v>
      </c>
      <c r="C748" t="s">
        <v>94</v>
      </c>
      <c r="D748" s="8">
        <v>335.45</v>
      </c>
    </row>
    <row r="749" spans="1:4" x14ac:dyDescent="0.45">
      <c r="A749" s="7">
        <v>46110</v>
      </c>
      <c r="B749" t="s">
        <v>97</v>
      </c>
      <c r="C749" t="s">
        <v>98</v>
      </c>
      <c r="D749" s="8">
        <v>184.65</v>
      </c>
    </row>
    <row r="750" spans="1:4" x14ac:dyDescent="0.45">
      <c r="A750" s="7">
        <v>45464</v>
      </c>
      <c r="B750" t="s">
        <v>97</v>
      </c>
      <c r="C750" t="s">
        <v>101</v>
      </c>
      <c r="D750" s="8">
        <v>213.06</v>
      </c>
    </row>
    <row r="751" spans="1:4" x14ac:dyDescent="0.45">
      <c r="A751" s="7">
        <v>45576</v>
      </c>
      <c r="B751" t="s">
        <v>93</v>
      </c>
      <c r="C751" t="s">
        <v>100</v>
      </c>
      <c r="D751" s="8">
        <v>340.04</v>
      </c>
    </row>
    <row r="752" spans="1:4" x14ac:dyDescent="0.45">
      <c r="A752" s="7">
        <v>45762</v>
      </c>
      <c r="B752" t="s">
        <v>95</v>
      </c>
      <c r="C752" t="s">
        <v>105</v>
      </c>
      <c r="D752" s="8">
        <v>497.87</v>
      </c>
    </row>
    <row r="753" spans="1:4" x14ac:dyDescent="0.45">
      <c r="A753" s="7">
        <v>45430</v>
      </c>
      <c r="B753" t="s">
        <v>97</v>
      </c>
      <c r="C753" t="s">
        <v>98</v>
      </c>
      <c r="D753" s="8">
        <v>475.24</v>
      </c>
    </row>
    <row r="754" spans="1:4" x14ac:dyDescent="0.45">
      <c r="A754" s="7">
        <v>45668</v>
      </c>
      <c r="B754" t="s">
        <v>95</v>
      </c>
      <c r="C754" t="s">
        <v>96</v>
      </c>
      <c r="D754" s="8">
        <v>-36.56</v>
      </c>
    </row>
    <row r="755" spans="1:4" x14ac:dyDescent="0.45">
      <c r="A755" s="7">
        <v>45570</v>
      </c>
      <c r="B755" t="s">
        <v>93</v>
      </c>
      <c r="C755" t="s">
        <v>94</v>
      </c>
      <c r="D755" s="8">
        <v>-65.25</v>
      </c>
    </row>
    <row r="756" spans="1:4" x14ac:dyDescent="0.45">
      <c r="A756" s="7">
        <v>45568</v>
      </c>
      <c r="B756" t="s">
        <v>95</v>
      </c>
      <c r="C756" t="s">
        <v>108</v>
      </c>
      <c r="D756" s="8">
        <v>54.65</v>
      </c>
    </row>
    <row r="757" spans="1:4" x14ac:dyDescent="0.45">
      <c r="A757" s="7">
        <v>46065</v>
      </c>
      <c r="B757" t="s">
        <v>93</v>
      </c>
      <c r="C757" t="s">
        <v>94</v>
      </c>
      <c r="D757" s="8">
        <v>-1.61</v>
      </c>
    </row>
    <row r="758" spans="1:4" x14ac:dyDescent="0.45">
      <c r="A758" s="7">
        <v>45948</v>
      </c>
      <c r="B758" t="s">
        <v>93</v>
      </c>
      <c r="C758" t="s">
        <v>103</v>
      </c>
      <c r="D758" s="8">
        <v>-145.93</v>
      </c>
    </row>
    <row r="759" spans="1:4" x14ac:dyDescent="0.45">
      <c r="A759" s="7">
        <v>45292</v>
      </c>
      <c r="B759" t="s">
        <v>95</v>
      </c>
      <c r="C759" t="s">
        <v>105</v>
      </c>
      <c r="D759" s="8">
        <v>450.89</v>
      </c>
    </row>
    <row r="760" spans="1:4" x14ac:dyDescent="0.45">
      <c r="A760" s="7">
        <v>45351</v>
      </c>
      <c r="B760" t="s">
        <v>93</v>
      </c>
      <c r="C760" t="s">
        <v>100</v>
      </c>
      <c r="D760" s="8">
        <v>11.81</v>
      </c>
    </row>
    <row r="761" spans="1:4" x14ac:dyDescent="0.45">
      <c r="A761" s="7">
        <v>45528</v>
      </c>
      <c r="B761" t="s">
        <v>95</v>
      </c>
      <c r="C761" t="s">
        <v>105</v>
      </c>
      <c r="D761" s="8">
        <v>318.14</v>
      </c>
    </row>
    <row r="762" spans="1:4" x14ac:dyDescent="0.45">
      <c r="A762" s="7">
        <v>45640</v>
      </c>
      <c r="B762" t="s">
        <v>93</v>
      </c>
      <c r="C762" t="s">
        <v>106</v>
      </c>
      <c r="D762" s="8">
        <v>187.14</v>
      </c>
    </row>
    <row r="763" spans="1:4" x14ac:dyDescent="0.45">
      <c r="A763" s="7">
        <v>45993</v>
      </c>
      <c r="B763" t="s">
        <v>97</v>
      </c>
      <c r="C763" t="s">
        <v>98</v>
      </c>
      <c r="D763" s="8">
        <v>145.68</v>
      </c>
    </row>
    <row r="764" spans="1:4" x14ac:dyDescent="0.45">
      <c r="A764" s="7">
        <v>45496</v>
      </c>
      <c r="B764" t="s">
        <v>95</v>
      </c>
      <c r="C764" t="s">
        <v>105</v>
      </c>
      <c r="D764" s="8">
        <v>435.62</v>
      </c>
    </row>
    <row r="765" spans="1:4" x14ac:dyDescent="0.45">
      <c r="A765" s="7">
        <v>46043</v>
      </c>
      <c r="B765" t="s">
        <v>95</v>
      </c>
      <c r="C765" t="s">
        <v>96</v>
      </c>
      <c r="D765" s="8">
        <v>497.09</v>
      </c>
    </row>
    <row r="766" spans="1:4" x14ac:dyDescent="0.45">
      <c r="A766" s="7">
        <v>45362</v>
      </c>
      <c r="B766" t="s">
        <v>97</v>
      </c>
      <c r="C766" t="s">
        <v>101</v>
      </c>
      <c r="D766" s="8">
        <v>63.58</v>
      </c>
    </row>
    <row r="767" spans="1:4" x14ac:dyDescent="0.45">
      <c r="A767" s="7">
        <v>45381</v>
      </c>
      <c r="B767" t="s">
        <v>97</v>
      </c>
      <c r="C767" t="s">
        <v>104</v>
      </c>
      <c r="D767" s="8">
        <v>305.77</v>
      </c>
    </row>
    <row r="768" spans="1:4" x14ac:dyDescent="0.45">
      <c r="A768" s="7">
        <v>45992</v>
      </c>
      <c r="B768" t="s">
        <v>93</v>
      </c>
      <c r="C768" t="s">
        <v>100</v>
      </c>
      <c r="D768" s="8">
        <v>436.01</v>
      </c>
    </row>
    <row r="769" spans="1:4" x14ac:dyDescent="0.45">
      <c r="A769" s="7">
        <v>45322</v>
      </c>
      <c r="B769" t="s">
        <v>93</v>
      </c>
      <c r="C769" t="s">
        <v>103</v>
      </c>
      <c r="D769" s="8">
        <v>-141.27000000000001</v>
      </c>
    </row>
    <row r="770" spans="1:4" x14ac:dyDescent="0.45">
      <c r="A770" s="7">
        <v>45430</v>
      </c>
      <c r="B770" t="s">
        <v>97</v>
      </c>
      <c r="C770" t="s">
        <v>104</v>
      </c>
      <c r="D770" s="8">
        <v>-142.94999999999999</v>
      </c>
    </row>
    <row r="771" spans="1:4" x14ac:dyDescent="0.45">
      <c r="A771" s="7">
        <v>45911</v>
      </c>
      <c r="B771" t="s">
        <v>95</v>
      </c>
      <c r="C771" t="s">
        <v>108</v>
      </c>
      <c r="D771" s="8">
        <v>314.77999999999997</v>
      </c>
    </row>
    <row r="772" spans="1:4" x14ac:dyDescent="0.45">
      <c r="A772" s="7">
        <v>46001</v>
      </c>
      <c r="B772" t="s">
        <v>95</v>
      </c>
      <c r="C772" t="s">
        <v>105</v>
      </c>
      <c r="D772" s="8">
        <v>-24.4</v>
      </c>
    </row>
    <row r="773" spans="1:4" x14ac:dyDescent="0.45">
      <c r="A773" s="7">
        <v>45297</v>
      </c>
      <c r="B773" t="s">
        <v>97</v>
      </c>
      <c r="C773" t="s">
        <v>98</v>
      </c>
      <c r="D773" s="8">
        <v>-73.56</v>
      </c>
    </row>
    <row r="774" spans="1:4" x14ac:dyDescent="0.45">
      <c r="A774" s="7">
        <v>45715</v>
      </c>
      <c r="B774" t="s">
        <v>95</v>
      </c>
      <c r="C774" t="s">
        <v>108</v>
      </c>
      <c r="D774" s="8">
        <v>-42.5</v>
      </c>
    </row>
    <row r="775" spans="1:4" x14ac:dyDescent="0.45">
      <c r="A775" s="7">
        <v>45664</v>
      </c>
      <c r="B775" t="s">
        <v>93</v>
      </c>
      <c r="C775" t="s">
        <v>100</v>
      </c>
      <c r="D775" s="8">
        <v>-144.04</v>
      </c>
    </row>
    <row r="776" spans="1:4" x14ac:dyDescent="0.45">
      <c r="A776" s="7">
        <v>46012</v>
      </c>
      <c r="B776" t="s">
        <v>93</v>
      </c>
      <c r="C776" t="s">
        <v>103</v>
      </c>
      <c r="D776" s="8">
        <v>16.46</v>
      </c>
    </row>
    <row r="777" spans="1:4" x14ac:dyDescent="0.45">
      <c r="A777" s="7">
        <v>46109</v>
      </c>
      <c r="B777" t="s">
        <v>93</v>
      </c>
      <c r="C777" t="s">
        <v>106</v>
      </c>
      <c r="D777" s="8">
        <v>-103.74</v>
      </c>
    </row>
    <row r="778" spans="1:4" x14ac:dyDescent="0.45">
      <c r="A778" s="7">
        <v>45756</v>
      </c>
      <c r="B778" t="s">
        <v>95</v>
      </c>
      <c r="C778" t="s">
        <v>109</v>
      </c>
      <c r="D778" s="8">
        <v>221.2</v>
      </c>
    </row>
    <row r="779" spans="1:4" x14ac:dyDescent="0.45">
      <c r="A779" s="7">
        <v>45809</v>
      </c>
      <c r="B779" t="s">
        <v>93</v>
      </c>
      <c r="C779" t="s">
        <v>100</v>
      </c>
      <c r="D779" s="8">
        <v>404.13</v>
      </c>
    </row>
    <row r="780" spans="1:4" x14ac:dyDescent="0.45">
      <c r="A780" s="7">
        <v>45895</v>
      </c>
      <c r="B780" t="s">
        <v>93</v>
      </c>
      <c r="C780" t="s">
        <v>94</v>
      </c>
      <c r="D780" s="8">
        <v>279.39</v>
      </c>
    </row>
    <row r="781" spans="1:4" x14ac:dyDescent="0.45">
      <c r="A781" s="7">
        <v>45848</v>
      </c>
      <c r="B781" t="s">
        <v>97</v>
      </c>
      <c r="C781" t="s">
        <v>104</v>
      </c>
      <c r="D781" s="8">
        <v>313.39</v>
      </c>
    </row>
    <row r="782" spans="1:4" x14ac:dyDescent="0.45">
      <c r="A782" s="7">
        <v>45363</v>
      </c>
      <c r="B782" t="s">
        <v>93</v>
      </c>
      <c r="C782" t="s">
        <v>106</v>
      </c>
      <c r="D782" s="8">
        <v>372.31</v>
      </c>
    </row>
    <row r="783" spans="1:4" x14ac:dyDescent="0.45">
      <c r="A783" s="7">
        <v>45733</v>
      </c>
      <c r="B783" t="s">
        <v>97</v>
      </c>
      <c r="C783" t="s">
        <v>101</v>
      </c>
      <c r="D783" s="8">
        <v>166.88</v>
      </c>
    </row>
    <row r="784" spans="1:4" x14ac:dyDescent="0.45">
      <c r="A784" s="7">
        <v>45583</v>
      </c>
      <c r="B784" t="s">
        <v>93</v>
      </c>
      <c r="C784" t="s">
        <v>103</v>
      </c>
      <c r="D784" s="8">
        <v>115.52</v>
      </c>
    </row>
    <row r="785" spans="1:4" x14ac:dyDescent="0.45">
      <c r="A785" s="7">
        <v>45516</v>
      </c>
      <c r="B785" t="s">
        <v>95</v>
      </c>
      <c r="C785" t="s">
        <v>109</v>
      </c>
      <c r="D785" s="8">
        <v>202.83</v>
      </c>
    </row>
    <row r="786" spans="1:4" x14ac:dyDescent="0.45">
      <c r="A786" s="7">
        <v>45586</v>
      </c>
      <c r="B786" t="s">
        <v>97</v>
      </c>
      <c r="C786" t="s">
        <v>98</v>
      </c>
      <c r="D786" s="8">
        <v>324.3</v>
      </c>
    </row>
    <row r="787" spans="1:4" x14ac:dyDescent="0.45">
      <c r="A787" s="7">
        <v>45586</v>
      </c>
      <c r="B787" t="s">
        <v>93</v>
      </c>
      <c r="C787" t="s">
        <v>94</v>
      </c>
      <c r="D787" s="8">
        <v>139.68</v>
      </c>
    </row>
    <row r="788" spans="1:4" x14ac:dyDescent="0.45">
      <c r="A788" s="7">
        <v>45664</v>
      </c>
      <c r="B788" t="s">
        <v>93</v>
      </c>
      <c r="C788" t="s">
        <v>100</v>
      </c>
      <c r="D788" s="8">
        <v>215.29</v>
      </c>
    </row>
    <row r="789" spans="1:4" x14ac:dyDescent="0.45">
      <c r="A789" s="7">
        <v>45940</v>
      </c>
      <c r="B789" t="s">
        <v>93</v>
      </c>
      <c r="C789" t="s">
        <v>106</v>
      </c>
      <c r="D789" s="8">
        <v>13.4</v>
      </c>
    </row>
    <row r="790" spans="1:4" x14ac:dyDescent="0.45">
      <c r="A790" s="7">
        <v>45556</v>
      </c>
      <c r="B790" t="s">
        <v>97</v>
      </c>
      <c r="C790" t="s">
        <v>107</v>
      </c>
      <c r="D790" s="8">
        <v>306.05</v>
      </c>
    </row>
    <row r="791" spans="1:4" x14ac:dyDescent="0.45">
      <c r="A791" s="7">
        <v>45835</v>
      </c>
      <c r="B791" t="s">
        <v>93</v>
      </c>
      <c r="C791" t="s">
        <v>103</v>
      </c>
      <c r="D791" s="8">
        <v>-46.84</v>
      </c>
    </row>
    <row r="792" spans="1:4" x14ac:dyDescent="0.45">
      <c r="A792" s="7">
        <v>45509</v>
      </c>
      <c r="B792" t="s">
        <v>95</v>
      </c>
      <c r="C792" t="s">
        <v>99</v>
      </c>
      <c r="D792" s="8">
        <v>-139.28</v>
      </c>
    </row>
    <row r="793" spans="1:4" x14ac:dyDescent="0.45">
      <c r="A793" s="7">
        <v>45707</v>
      </c>
      <c r="B793" t="s">
        <v>95</v>
      </c>
      <c r="C793" t="s">
        <v>108</v>
      </c>
      <c r="D793" s="8">
        <v>107.22</v>
      </c>
    </row>
    <row r="794" spans="1:4" x14ac:dyDescent="0.45">
      <c r="A794" s="7">
        <v>46041</v>
      </c>
      <c r="B794" t="s">
        <v>95</v>
      </c>
      <c r="C794" t="s">
        <v>109</v>
      </c>
      <c r="D794" s="8">
        <v>-7.11</v>
      </c>
    </row>
    <row r="795" spans="1:4" x14ac:dyDescent="0.45">
      <c r="A795" s="7">
        <v>46134</v>
      </c>
      <c r="B795" t="s">
        <v>97</v>
      </c>
      <c r="C795" t="s">
        <v>104</v>
      </c>
      <c r="D795" s="8">
        <v>364.16</v>
      </c>
    </row>
    <row r="796" spans="1:4" x14ac:dyDescent="0.45">
      <c r="A796" s="7">
        <v>45629</v>
      </c>
      <c r="B796" t="s">
        <v>95</v>
      </c>
      <c r="C796" t="s">
        <v>96</v>
      </c>
      <c r="D796" s="8">
        <v>74.61</v>
      </c>
    </row>
    <row r="797" spans="1:4" x14ac:dyDescent="0.45">
      <c r="A797" s="7">
        <v>45478</v>
      </c>
      <c r="B797" t="s">
        <v>93</v>
      </c>
      <c r="C797" t="s">
        <v>103</v>
      </c>
      <c r="D797" s="8">
        <v>171.93</v>
      </c>
    </row>
    <row r="798" spans="1:4" x14ac:dyDescent="0.45">
      <c r="A798" s="7">
        <v>45580</v>
      </c>
      <c r="B798" t="s">
        <v>95</v>
      </c>
      <c r="C798" t="s">
        <v>108</v>
      </c>
      <c r="D798" s="8">
        <v>211.76</v>
      </c>
    </row>
    <row r="799" spans="1:4" x14ac:dyDescent="0.45">
      <c r="A799" s="7">
        <v>45371</v>
      </c>
      <c r="B799" t="s">
        <v>95</v>
      </c>
      <c r="C799" t="s">
        <v>105</v>
      </c>
      <c r="D799" s="8">
        <v>395.17</v>
      </c>
    </row>
    <row r="800" spans="1:4" x14ac:dyDescent="0.45">
      <c r="A800" s="7">
        <v>45988</v>
      </c>
      <c r="B800" t="s">
        <v>95</v>
      </c>
      <c r="C800" t="s">
        <v>108</v>
      </c>
      <c r="D800" s="8">
        <v>-33.97</v>
      </c>
    </row>
    <row r="801" spans="1:4" x14ac:dyDescent="0.45">
      <c r="A801" s="7">
        <v>45841</v>
      </c>
      <c r="B801" t="s">
        <v>97</v>
      </c>
      <c r="C801" t="s">
        <v>98</v>
      </c>
      <c r="D801" s="8">
        <v>-128.21</v>
      </c>
    </row>
    <row r="802" spans="1:4" x14ac:dyDescent="0.45">
      <c r="A802" s="7">
        <v>45623</v>
      </c>
      <c r="B802" t="s">
        <v>93</v>
      </c>
      <c r="C802" t="s">
        <v>103</v>
      </c>
      <c r="D802" s="8">
        <v>111.94</v>
      </c>
    </row>
    <row r="803" spans="1:4" x14ac:dyDescent="0.45">
      <c r="A803" s="7">
        <v>45892</v>
      </c>
      <c r="B803" t="s">
        <v>95</v>
      </c>
      <c r="C803" t="s">
        <v>108</v>
      </c>
      <c r="D803" s="8">
        <v>282.14</v>
      </c>
    </row>
    <row r="804" spans="1:4" x14ac:dyDescent="0.45">
      <c r="A804" s="7">
        <v>45791</v>
      </c>
      <c r="B804" t="s">
        <v>95</v>
      </c>
      <c r="C804" t="s">
        <v>109</v>
      </c>
      <c r="D804" s="8">
        <v>-8.9600000000000009</v>
      </c>
    </row>
    <row r="805" spans="1:4" x14ac:dyDescent="0.45">
      <c r="A805" s="7">
        <v>45394</v>
      </c>
      <c r="B805" t="s">
        <v>95</v>
      </c>
      <c r="C805" t="s">
        <v>108</v>
      </c>
      <c r="D805" s="8">
        <v>28.77</v>
      </c>
    </row>
    <row r="806" spans="1:4" x14ac:dyDescent="0.45">
      <c r="A806" s="7">
        <v>45904</v>
      </c>
      <c r="B806" t="s">
        <v>95</v>
      </c>
      <c r="C806" t="s">
        <v>108</v>
      </c>
      <c r="D806" s="8">
        <v>356.47</v>
      </c>
    </row>
    <row r="807" spans="1:4" x14ac:dyDescent="0.45">
      <c r="A807" s="7">
        <v>45705</v>
      </c>
      <c r="B807" t="s">
        <v>95</v>
      </c>
      <c r="C807" t="s">
        <v>109</v>
      </c>
      <c r="D807" s="8">
        <v>17.63</v>
      </c>
    </row>
    <row r="808" spans="1:4" x14ac:dyDescent="0.45">
      <c r="A808" s="7">
        <v>45973</v>
      </c>
      <c r="B808" t="s">
        <v>95</v>
      </c>
      <c r="C808" t="s">
        <v>109</v>
      </c>
      <c r="D808" s="8">
        <v>-17.850000000000001</v>
      </c>
    </row>
    <row r="809" spans="1:4" x14ac:dyDescent="0.45">
      <c r="A809" s="7">
        <v>45322</v>
      </c>
      <c r="B809" t="s">
        <v>97</v>
      </c>
      <c r="C809" t="s">
        <v>107</v>
      </c>
      <c r="D809" s="8">
        <v>472.65</v>
      </c>
    </row>
    <row r="810" spans="1:4" x14ac:dyDescent="0.45">
      <c r="A810" s="7">
        <v>45692</v>
      </c>
      <c r="B810" t="s">
        <v>97</v>
      </c>
      <c r="C810" t="s">
        <v>104</v>
      </c>
      <c r="D810" s="8">
        <v>437.6</v>
      </c>
    </row>
    <row r="811" spans="1:4" x14ac:dyDescent="0.45">
      <c r="A811" s="7">
        <v>45817</v>
      </c>
      <c r="B811" t="s">
        <v>97</v>
      </c>
      <c r="C811" t="s">
        <v>107</v>
      </c>
      <c r="D811" s="8">
        <v>257.61</v>
      </c>
    </row>
    <row r="812" spans="1:4" x14ac:dyDescent="0.45">
      <c r="A812" s="7">
        <v>45464</v>
      </c>
      <c r="B812" t="s">
        <v>97</v>
      </c>
      <c r="C812" t="s">
        <v>107</v>
      </c>
      <c r="D812" s="8">
        <v>475.63</v>
      </c>
    </row>
    <row r="813" spans="1:4" x14ac:dyDescent="0.45">
      <c r="A813" s="7">
        <v>46092</v>
      </c>
      <c r="B813" t="s">
        <v>95</v>
      </c>
      <c r="C813" t="s">
        <v>108</v>
      </c>
      <c r="D813" s="8">
        <v>454.75</v>
      </c>
    </row>
    <row r="814" spans="1:4" x14ac:dyDescent="0.45">
      <c r="A814" s="7">
        <v>46063</v>
      </c>
      <c r="B814" t="s">
        <v>97</v>
      </c>
      <c r="C814" t="s">
        <v>107</v>
      </c>
      <c r="D814" s="8">
        <v>280.52</v>
      </c>
    </row>
    <row r="815" spans="1:4" x14ac:dyDescent="0.45">
      <c r="A815" s="7">
        <v>45328</v>
      </c>
      <c r="B815" t="s">
        <v>95</v>
      </c>
      <c r="C815" t="s">
        <v>109</v>
      </c>
      <c r="D815" s="8">
        <v>380.39</v>
      </c>
    </row>
    <row r="816" spans="1:4" x14ac:dyDescent="0.45">
      <c r="A816" s="7">
        <v>46152</v>
      </c>
      <c r="B816" t="s">
        <v>93</v>
      </c>
      <c r="C816" t="s">
        <v>106</v>
      </c>
      <c r="D816" s="8">
        <v>81.97</v>
      </c>
    </row>
    <row r="817" spans="1:4" x14ac:dyDescent="0.45">
      <c r="A817" s="7">
        <v>45574</v>
      </c>
      <c r="B817" t="s">
        <v>95</v>
      </c>
      <c r="C817" t="s">
        <v>109</v>
      </c>
      <c r="D817" s="8">
        <v>-90.08</v>
      </c>
    </row>
    <row r="818" spans="1:4" x14ac:dyDescent="0.45">
      <c r="A818" s="7">
        <v>45926</v>
      </c>
      <c r="B818" t="s">
        <v>97</v>
      </c>
      <c r="C818" t="s">
        <v>98</v>
      </c>
      <c r="D818" s="8">
        <v>113.72</v>
      </c>
    </row>
    <row r="819" spans="1:4" x14ac:dyDescent="0.45">
      <c r="A819" s="7">
        <v>45318</v>
      </c>
      <c r="B819" t="s">
        <v>93</v>
      </c>
      <c r="C819" t="s">
        <v>94</v>
      </c>
      <c r="D819" s="8">
        <v>44.11</v>
      </c>
    </row>
    <row r="820" spans="1:4" x14ac:dyDescent="0.45">
      <c r="A820" s="7">
        <v>45594</v>
      </c>
      <c r="B820" t="s">
        <v>93</v>
      </c>
      <c r="C820" t="s">
        <v>94</v>
      </c>
      <c r="D820" s="8">
        <v>73.540000000000006</v>
      </c>
    </row>
    <row r="821" spans="1:4" x14ac:dyDescent="0.45">
      <c r="A821" s="7">
        <v>46027</v>
      </c>
      <c r="B821" t="s">
        <v>95</v>
      </c>
      <c r="C821" t="s">
        <v>109</v>
      </c>
      <c r="D821" s="8">
        <v>20.260000000000002</v>
      </c>
    </row>
    <row r="822" spans="1:4" x14ac:dyDescent="0.45">
      <c r="A822" s="7">
        <v>45992</v>
      </c>
      <c r="B822" t="s">
        <v>97</v>
      </c>
      <c r="C822" t="s">
        <v>98</v>
      </c>
      <c r="D822" s="8">
        <v>111.32</v>
      </c>
    </row>
    <row r="823" spans="1:4" x14ac:dyDescent="0.45">
      <c r="A823" s="7">
        <v>46126</v>
      </c>
      <c r="B823" t="s">
        <v>97</v>
      </c>
      <c r="C823" t="s">
        <v>107</v>
      </c>
      <c r="D823" s="8">
        <v>437.02</v>
      </c>
    </row>
    <row r="824" spans="1:4" x14ac:dyDescent="0.45">
      <c r="A824" s="7">
        <v>45294</v>
      </c>
      <c r="B824" t="s">
        <v>97</v>
      </c>
      <c r="C824" t="s">
        <v>107</v>
      </c>
      <c r="D824" s="8">
        <v>417.41</v>
      </c>
    </row>
    <row r="825" spans="1:4" x14ac:dyDescent="0.45">
      <c r="A825" s="7">
        <v>46019</v>
      </c>
      <c r="B825" t="s">
        <v>95</v>
      </c>
      <c r="C825" t="s">
        <v>108</v>
      </c>
      <c r="D825" s="8">
        <v>165.73</v>
      </c>
    </row>
    <row r="826" spans="1:4" x14ac:dyDescent="0.45">
      <c r="A826" s="7">
        <v>45704</v>
      </c>
      <c r="B826" t="s">
        <v>95</v>
      </c>
      <c r="C826" t="s">
        <v>105</v>
      </c>
      <c r="D826" s="8">
        <v>458.52</v>
      </c>
    </row>
    <row r="827" spans="1:4" x14ac:dyDescent="0.45">
      <c r="A827" s="7">
        <v>45842</v>
      </c>
      <c r="B827" t="s">
        <v>95</v>
      </c>
      <c r="C827" t="s">
        <v>108</v>
      </c>
      <c r="D827" s="8">
        <v>324.68</v>
      </c>
    </row>
    <row r="828" spans="1:4" x14ac:dyDescent="0.45">
      <c r="A828" s="7">
        <v>45562</v>
      </c>
      <c r="B828" t="s">
        <v>93</v>
      </c>
      <c r="C828" t="s">
        <v>106</v>
      </c>
      <c r="D828" s="8">
        <v>6.43</v>
      </c>
    </row>
    <row r="829" spans="1:4" x14ac:dyDescent="0.45">
      <c r="A829" s="7">
        <v>45768</v>
      </c>
      <c r="B829" t="s">
        <v>97</v>
      </c>
      <c r="C829" t="s">
        <v>98</v>
      </c>
      <c r="D829" s="8">
        <v>-19.89</v>
      </c>
    </row>
    <row r="830" spans="1:4" x14ac:dyDescent="0.45">
      <c r="A830" s="7">
        <v>45741</v>
      </c>
      <c r="B830" t="s">
        <v>97</v>
      </c>
      <c r="C830" t="s">
        <v>104</v>
      </c>
      <c r="D830" s="8">
        <v>142.78</v>
      </c>
    </row>
    <row r="831" spans="1:4" x14ac:dyDescent="0.45">
      <c r="A831" s="7">
        <v>46022</v>
      </c>
      <c r="B831" t="s">
        <v>93</v>
      </c>
      <c r="C831" t="s">
        <v>100</v>
      </c>
      <c r="D831" s="8">
        <v>108.9</v>
      </c>
    </row>
    <row r="832" spans="1:4" x14ac:dyDescent="0.45">
      <c r="A832" s="7">
        <v>45685</v>
      </c>
      <c r="B832" t="s">
        <v>95</v>
      </c>
      <c r="C832" t="s">
        <v>102</v>
      </c>
      <c r="D832" s="8">
        <v>-34.92</v>
      </c>
    </row>
    <row r="833" spans="1:4" x14ac:dyDescent="0.45">
      <c r="A833" s="7">
        <v>45424</v>
      </c>
      <c r="B833" t="s">
        <v>95</v>
      </c>
      <c r="C833" t="s">
        <v>108</v>
      </c>
      <c r="D833" s="8">
        <v>383.92</v>
      </c>
    </row>
    <row r="834" spans="1:4" x14ac:dyDescent="0.45">
      <c r="A834" s="7">
        <v>45964</v>
      </c>
      <c r="B834" t="s">
        <v>95</v>
      </c>
      <c r="C834" t="s">
        <v>99</v>
      </c>
      <c r="D834" s="8">
        <v>246.71</v>
      </c>
    </row>
    <row r="835" spans="1:4" x14ac:dyDescent="0.45">
      <c r="A835" s="7">
        <v>45569</v>
      </c>
      <c r="B835" t="s">
        <v>93</v>
      </c>
      <c r="C835" t="s">
        <v>100</v>
      </c>
      <c r="D835" s="8">
        <v>479.46</v>
      </c>
    </row>
    <row r="836" spans="1:4" x14ac:dyDescent="0.45">
      <c r="A836" s="7">
        <v>45801</v>
      </c>
      <c r="B836" t="s">
        <v>97</v>
      </c>
      <c r="C836" t="s">
        <v>104</v>
      </c>
      <c r="D836" s="8">
        <v>475.67</v>
      </c>
    </row>
    <row r="837" spans="1:4" x14ac:dyDescent="0.45">
      <c r="A837" s="7">
        <v>46053</v>
      </c>
      <c r="B837" t="s">
        <v>93</v>
      </c>
      <c r="C837" t="s">
        <v>100</v>
      </c>
      <c r="D837" s="8">
        <v>-56.95</v>
      </c>
    </row>
    <row r="838" spans="1:4" x14ac:dyDescent="0.45">
      <c r="A838" s="7">
        <v>45601</v>
      </c>
      <c r="B838" t="s">
        <v>97</v>
      </c>
      <c r="C838" t="s">
        <v>107</v>
      </c>
      <c r="D838" s="8">
        <v>145.19</v>
      </c>
    </row>
    <row r="839" spans="1:4" x14ac:dyDescent="0.45">
      <c r="A839" s="7">
        <v>45783</v>
      </c>
      <c r="B839" t="s">
        <v>93</v>
      </c>
      <c r="C839" t="s">
        <v>94</v>
      </c>
      <c r="D839" s="8">
        <v>36.57</v>
      </c>
    </row>
    <row r="840" spans="1:4" x14ac:dyDescent="0.45">
      <c r="A840" s="7">
        <v>45898</v>
      </c>
      <c r="B840" t="s">
        <v>93</v>
      </c>
      <c r="C840" t="s">
        <v>106</v>
      </c>
      <c r="D840" s="8">
        <v>381.9</v>
      </c>
    </row>
    <row r="841" spans="1:4" x14ac:dyDescent="0.45">
      <c r="A841" s="7">
        <v>45513</v>
      </c>
      <c r="B841" t="s">
        <v>97</v>
      </c>
      <c r="C841" t="s">
        <v>101</v>
      </c>
      <c r="D841" s="8">
        <v>487.21</v>
      </c>
    </row>
    <row r="842" spans="1:4" x14ac:dyDescent="0.45">
      <c r="A842" s="7">
        <v>45824</v>
      </c>
      <c r="B842" t="s">
        <v>95</v>
      </c>
      <c r="C842" t="s">
        <v>96</v>
      </c>
      <c r="D842" s="8">
        <v>401.52</v>
      </c>
    </row>
    <row r="843" spans="1:4" x14ac:dyDescent="0.45">
      <c r="A843" s="7">
        <v>45809</v>
      </c>
      <c r="B843" t="s">
        <v>97</v>
      </c>
      <c r="C843" t="s">
        <v>98</v>
      </c>
      <c r="D843" s="8">
        <v>376.52</v>
      </c>
    </row>
    <row r="844" spans="1:4" x14ac:dyDescent="0.45">
      <c r="A844" s="7">
        <v>45369</v>
      </c>
      <c r="B844" t="s">
        <v>97</v>
      </c>
      <c r="C844" t="s">
        <v>104</v>
      </c>
      <c r="D844" s="8">
        <v>211.02</v>
      </c>
    </row>
    <row r="845" spans="1:4" x14ac:dyDescent="0.45">
      <c r="A845" s="7">
        <v>45533</v>
      </c>
      <c r="B845" t="s">
        <v>97</v>
      </c>
      <c r="C845" t="s">
        <v>101</v>
      </c>
      <c r="D845" s="8">
        <v>-118.05</v>
      </c>
    </row>
    <row r="846" spans="1:4" x14ac:dyDescent="0.45">
      <c r="A846" s="7">
        <v>45980</v>
      </c>
      <c r="B846" t="s">
        <v>93</v>
      </c>
      <c r="C846" t="s">
        <v>100</v>
      </c>
      <c r="D846" s="8">
        <v>-138.63999999999999</v>
      </c>
    </row>
    <row r="847" spans="1:4" x14ac:dyDescent="0.45">
      <c r="A847" s="7">
        <v>46111</v>
      </c>
      <c r="B847" t="s">
        <v>95</v>
      </c>
      <c r="C847" t="s">
        <v>105</v>
      </c>
      <c r="D847" s="8">
        <v>368.62</v>
      </c>
    </row>
    <row r="848" spans="1:4" x14ac:dyDescent="0.45">
      <c r="A848" s="7">
        <v>45636</v>
      </c>
      <c r="B848" t="s">
        <v>95</v>
      </c>
      <c r="C848" t="s">
        <v>102</v>
      </c>
      <c r="D848" s="8">
        <v>-54.58</v>
      </c>
    </row>
    <row r="849" spans="1:4" x14ac:dyDescent="0.45">
      <c r="A849" s="7">
        <v>45675</v>
      </c>
      <c r="B849" t="s">
        <v>95</v>
      </c>
      <c r="C849" t="s">
        <v>99</v>
      </c>
      <c r="D849" s="8">
        <v>230.09</v>
      </c>
    </row>
    <row r="850" spans="1:4" x14ac:dyDescent="0.45">
      <c r="A850" s="7">
        <v>45462</v>
      </c>
      <c r="B850" t="s">
        <v>93</v>
      </c>
      <c r="C850" t="s">
        <v>100</v>
      </c>
      <c r="D850" s="8">
        <v>330.07</v>
      </c>
    </row>
    <row r="851" spans="1:4" x14ac:dyDescent="0.45">
      <c r="A851" s="7">
        <v>46043</v>
      </c>
      <c r="B851" t="s">
        <v>95</v>
      </c>
      <c r="C851" t="s">
        <v>99</v>
      </c>
      <c r="D851" s="8">
        <v>437.88</v>
      </c>
    </row>
    <row r="852" spans="1:4" x14ac:dyDescent="0.45">
      <c r="A852" s="7">
        <v>45719</v>
      </c>
      <c r="B852" t="s">
        <v>95</v>
      </c>
      <c r="C852" t="s">
        <v>102</v>
      </c>
      <c r="D852" s="8">
        <v>197.95</v>
      </c>
    </row>
    <row r="853" spans="1:4" x14ac:dyDescent="0.45">
      <c r="A853" s="7">
        <v>46026</v>
      </c>
      <c r="B853" t="s">
        <v>93</v>
      </c>
      <c r="C853" t="s">
        <v>94</v>
      </c>
      <c r="D853" s="8">
        <v>361.25</v>
      </c>
    </row>
    <row r="854" spans="1:4" x14ac:dyDescent="0.45">
      <c r="A854" s="7">
        <v>45938</v>
      </c>
      <c r="B854" t="s">
        <v>93</v>
      </c>
      <c r="C854" t="s">
        <v>94</v>
      </c>
      <c r="D854" s="8">
        <v>60.32</v>
      </c>
    </row>
    <row r="855" spans="1:4" x14ac:dyDescent="0.45">
      <c r="A855" s="7">
        <v>45703</v>
      </c>
      <c r="B855" t="s">
        <v>95</v>
      </c>
      <c r="C855" t="s">
        <v>102</v>
      </c>
      <c r="D855" s="8">
        <v>168.05</v>
      </c>
    </row>
    <row r="856" spans="1:4" x14ac:dyDescent="0.45">
      <c r="A856" s="7">
        <v>45739</v>
      </c>
      <c r="B856" t="s">
        <v>97</v>
      </c>
      <c r="C856" t="s">
        <v>104</v>
      </c>
      <c r="D856" s="8">
        <v>348.03</v>
      </c>
    </row>
    <row r="857" spans="1:4" x14ac:dyDescent="0.45">
      <c r="A857" s="7">
        <v>45812</v>
      </c>
      <c r="B857" t="s">
        <v>95</v>
      </c>
      <c r="C857" t="s">
        <v>105</v>
      </c>
      <c r="D857" s="8">
        <v>-7.75</v>
      </c>
    </row>
    <row r="858" spans="1:4" x14ac:dyDescent="0.45">
      <c r="A858" s="7">
        <v>46011</v>
      </c>
      <c r="B858" t="s">
        <v>97</v>
      </c>
      <c r="C858" t="s">
        <v>107</v>
      </c>
      <c r="D858" s="8">
        <v>48.86</v>
      </c>
    </row>
    <row r="859" spans="1:4" x14ac:dyDescent="0.45">
      <c r="A859" s="7">
        <v>45482</v>
      </c>
      <c r="B859" t="s">
        <v>93</v>
      </c>
      <c r="C859" t="s">
        <v>100</v>
      </c>
      <c r="D859" s="8">
        <v>407.72</v>
      </c>
    </row>
    <row r="860" spans="1:4" x14ac:dyDescent="0.45">
      <c r="A860" s="7">
        <v>45962</v>
      </c>
      <c r="B860" t="s">
        <v>97</v>
      </c>
      <c r="C860" t="s">
        <v>98</v>
      </c>
      <c r="D860" s="8">
        <v>161.65</v>
      </c>
    </row>
    <row r="861" spans="1:4" x14ac:dyDescent="0.45">
      <c r="A861" s="7">
        <v>45886</v>
      </c>
      <c r="B861" t="s">
        <v>97</v>
      </c>
      <c r="C861" t="s">
        <v>104</v>
      </c>
      <c r="D861" s="8">
        <v>193.67</v>
      </c>
    </row>
    <row r="862" spans="1:4" x14ac:dyDescent="0.45">
      <c r="A862" s="7">
        <v>45414</v>
      </c>
      <c r="B862" t="s">
        <v>95</v>
      </c>
      <c r="C862" t="s">
        <v>99</v>
      </c>
      <c r="D862" s="8">
        <v>366.26</v>
      </c>
    </row>
    <row r="863" spans="1:4" x14ac:dyDescent="0.45">
      <c r="A863" s="7">
        <v>45852</v>
      </c>
      <c r="B863" t="s">
        <v>93</v>
      </c>
      <c r="C863" t="s">
        <v>100</v>
      </c>
      <c r="D863" s="8">
        <v>429.82</v>
      </c>
    </row>
    <row r="864" spans="1:4" x14ac:dyDescent="0.45">
      <c r="A864" s="7">
        <v>45948</v>
      </c>
      <c r="B864" t="s">
        <v>95</v>
      </c>
      <c r="C864" t="s">
        <v>102</v>
      </c>
      <c r="D864" s="8">
        <v>470</v>
      </c>
    </row>
    <row r="865" spans="1:4" x14ac:dyDescent="0.45">
      <c r="A865" s="7">
        <v>46002</v>
      </c>
      <c r="B865" t="s">
        <v>93</v>
      </c>
      <c r="C865" t="s">
        <v>94</v>
      </c>
      <c r="D865" s="8">
        <v>134.34</v>
      </c>
    </row>
    <row r="866" spans="1:4" x14ac:dyDescent="0.45">
      <c r="A866" s="7">
        <v>45662</v>
      </c>
      <c r="B866" t="s">
        <v>93</v>
      </c>
      <c r="C866" t="s">
        <v>94</v>
      </c>
      <c r="D866" s="8">
        <v>7.31</v>
      </c>
    </row>
    <row r="867" spans="1:4" x14ac:dyDescent="0.45">
      <c r="A867" s="7">
        <v>45942</v>
      </c>
      <c r="B867" t="s">
        <v>97</v>
      </c>
      <c r="C867" t="s">
        <v>101</v>
      </c>
      <c r="D867" s="8">
        <v>327.8</v>
      </c>
    </row>
    <row r="868" spans="1:4" x14ac:dyDescent="0.45">
      <c r="A868" s="7">
        <v>45378</v>
      </c>
      <c r="B868" t="s">
        <v>95</v>
      </c>
      <c r="C868" t="s">
        <v>102</v>
      </c>
      <c r="D868" s="8">
        <v>-52.11</v>
      </c>
    </row>
    <row r="869" spans="1:4" x14ac:dyDescent="0.45">
      <c r="A869" s="7">
        <v>45604</v>
      </c>
      <c r="B869" t="s">
        <v>95</v>
      </c>
      <c r="C869" t="s">
        <v>102</v>
      </c>
      <c r="D869" s="8">
        <v>266.42</v>
      </c>
    </row>
    <row r="870" spans="1:4" x14ac:dyDescent="0.45">
      <c r="A870" s="7">
        <v>45662</v>
      </c>
      <c r="B870" t="s">
        <v>93</v>
      </c>
      <c r="C870" t="s">
        <v>100</v>
      </c>
      <c r="D870" s="8">
        <v>-26.22</v>
      </c>
    </row>
    <row r="871" spans="1:4" x14ac:dyDescent="0.45">
      <c r="A871" s="7">
        <v>45504</v>
      </c>
      <c r="B871" t="s">
        <v>97</v>
      </c>
      <c r="C871" t="s">
        <v>101</v>
      </c>
      <c r="D871" s="8">
        <v>342.5</v>
      </c>
    </row>
    <row r="872" spans="1:4" x14ac:dyDescent="0.45">
      <c r="A872" s="7">
        <v>45596</v>
      </c>
      <c r="B872" t="s">
        <v>93</v>
      </c>
      <c r="C872" t="s">
        <v>100</v>
      </c>
      <c r="D872" s="8">
        <v>-26.46</v>
      </c>
    </row>
    <row r="873" spans="1:4" x14ac:dyDescent="0.45">
      <c r="A873" s="7">
        <v>45351</v>
      </c>
      <c r="B873" t="s">
        <v>93</v>
      </c>
      <c r="C873" t="s">
        <v>103</v>
      </c>
      <c r="D873" s="8">
        <v>290.98</v>
      </c>
    </row>
    <row r="874" spans="1:4" x14ac:dyDescent="0.45">
      <c r="A874" s="7">
        <v>45308</v>
      </c>
      <c r="B874" t="s">
        <v>97</v>
      </c>
      <c r="C874" t="s">
        <v>104</v>
      </c>
      <c r="D874" s="8">
        <v>230.42</v>
      </c>
    </row>
    <row r="875" spans="1:4" x14ac:dyDescent="0.45">
      <c r="A875" s="7">
        <v>45724</v>
      </c>
      <c r="B875" t="s">
        <v>95</v>
      </c>
      <c r="C875" t="s">
        <v>105</v>
      </c>
      <c r="D875" s="8">
        <v>351.88</v>
      </c>
    </row>
    <row r="876" spans="1:4" x14ac:dyDescent="0.45">
      <c r="A876" s="7">
        <v>45743</v>
      </c>
      <c r="B876" t="s">
        <v>97</v>
      </c>
      <c r="C876" t="s">
        <v>98</v>
      </c>
      <c r="D876" s="8">
        <v>-137.72999999999999</v>
      </c>
    </row>
    <row r="877" spans="1:4" x14ac:dyDescent="0.45">
      <c r="A877" s="7">
        <v>45766</v>
      </c>
      <c r="B877" t="s">
        <v>97</v>
      </c>
      <c r="C877" t="s">
        <v>98</v>
      </c>
      <c r="D877" s="8">
        <v>269.52999999999997</v>
      </c>
    </row>
    <row r="878" spans="1:4" x14ac:dyDescent="0.45">
      <c r="A878" s="7">
        <v>45401</v>
      </c>
      <c r="B878" t="s">
        <v>97</v>
      </c>
      <c r="C878" t="s">
        <v>98</v>
      </c>
      <c r="D878" s="8">
        <v>-142.33000000000001</v>
      </c>
    </row>
    <row r="879" spans="1:4" x14ac:dyDescent="0.45">
      <c r="A879" s="7">
        <v>46161</v>
      </c>
      <c r="B879" t="s">
        <v>97</v>
      </c>
      <c r="C879" t="s">
        <v>104</v>
      </c>
      <c r="D879" s="8">
        <v>-101.05</v>
      </c>
    </row>
    <row r="880" spans="1:4" x14ac:dyDescent="0.45">
      <c r="A880" s="7">
        <v>46022</v>
      </c>
      <c r="B880" t="s">
        <v>95</v>
      </c>
      <c r="C880" t="s">
        <v>109</v>
      </c>
      <c r="D880" s="8">
        <v>158.07</v>
      </c>
    </row>
    <row r="881" spans="1:4" x14ac:dyDescent="0.45">
      <c r="A881" s="7">
        <v>45430</v>
      </c>
      <c r="B881" t="s">
        <v>95</v>
      </c>
      <c r="C881" t="s">
        <v>102</v>
      </c>
      <c r="D881" s="8">
        <v>-41.81</v>
      </c>
    </row>
    <row r="882" spans="1:4" x14ac:dyDescent="0.45">
      <c r="A882" s="7">
        <v>45607</v>
      </c>
      <c r="B882" t="s">
        <v>95</v>
      </c>
      <c r="C882" t="s">
        <v>96</v>
      </c>
      <c r="D882" s="8">
        <v>441.22</v>
      </c>
    </row>
    <row r="883" spans="1:4" x14ac:dyDescent="0.45">
      <c r="A883" s="7">
        <v>45630</v>
      </c>
      <c r="B883" t="s">
        <v>97</v>
      </c>
      <c r="C883" t="s">
        <v>104</v>
      </c>
      <c r="D883" s="8">
        <v>-6.3</v>
      </c>
    </row>
    <row r="884" spans="1:4" x14ac:dyDescent="0.45">
      <c r="A884" s="7">
        <v>45994</v>
      </c>
      <c r="B884" t="s">
        <v>95</v>
      </c>
      <c r="C884" t="s">
        <v>96</v>
      </c>
      <c r="D884" s="8">
        <v>497.1</v>
      </c>
    </row>
    <row r="885" spans="1:4" x14ac:dyDescent="0.45">
      <c r="A885" s="7">
        <v>45620</v>
      </c>
      <c r="B885" t="s">
        <v>93</v>
      </c>
      <c r="C885" t="s">
        <v>100</v>
      </c>
      <c r="D885" s="8">
        <v>498.49</v>
      </c>
    </row>
    <row r="886" spans="1:4" x14ac:dyDescent="0.45">
      <c r="A886" s="7">
        <v>45434</v>
      </c>
      <c r="B886" t="s">
        <v>95</v>
      </c>
      <c r="C886" t="s">
        <v>105</v>
      </c>
      <c r="D886" s="8">
        <v>241.18</v>
      </c>
    </row>
    <row r="887" spans="1:4" x14ac:dyDescent="0.45">
      <c r="A887" s="7">
        <v>45619</v>
      </c>
      <c r="B887" t="s">
        <v>97</v>
      </c>
      <c r="C887" t="s">
        <v>101</v>
      </c>
      <c r="D887" s="8">
        <v>25.55</v>
      </c>
    </row>
    <row r="888" spans="1:4" x14ac:dyDescent="0.45">
      <c r="A888" s="7">
        <v>45827</v>
      </c>
      <c r="B888" t="s">
        <v>93</v>
      </c>
      <c r="C888" t="s">
        <v>103</v>
      </c>
      <c r="D888" s="8">
        <v>444.92</v>
      </c>
    </row>
    <row r="889" spans="1:4" x14ac:dyDescent="0.45">
      <c r="A889" s="7">
        <v>46014</v>
      </c>
      <c r="B889" t="s">
        <v>95</v>
      </c>
      <c r="C889" t="s">
        <v>102</v>
      </c>
      <c r="D889" s="8">
        <v>420.38</v>
      </c>
    </row>
    <row r="890" spans="1:4" x14ac:dyDescent="0.45">
      <c r="A890" s="7">
        <v>45972</v>
      </c>
      <c r="B890" t="s">
        <v>93</v>
      </c>
      <c r="C890" t="s">
        <v>94</v>
      </c>
      <c r="D890" s="8">
        <v>83.41</v>
      </c>
    </row>
    <row r="891" spans="1:4" x14ac:dyDescent="0.45">
      <c r="A891" s="7">
        <v>45418</v>
      </c>
      <c r="B891" t="s">
        <v>95</v>
      </c>
      <c r="C891" t="s">
        <v>109</v>
      </c>
      <c r="D891" s="8">
        <v>438.51</v>
      </c>
    </row>
    <row r="892" spans="1:4" x14ac:dyDescent="0.45">
      <c r="A892" s="7">
        <v>45884</v>
      </c>
      <c r="B892" t="s">
        <v>97</v>
      </c>
      <c r="C892" t="s">
        <v>104</v>
      </c>
      <c r="D892" s="8">
        <v>-47.16</v>
      </c>
    </row>
    <row r="893" spans="1:4" x14ac:dyDescent="0.45">
      <c r="A893" s="7">
        <v>45802</v>
      </c>
      <c r="B893" t="s">
        <v>95</v>
      </c>
      <c r="C893" t="s">
        <v>109</v>
      </c>
      <c r="D893" s="8">
        <v>88.2</v>
      </c>
    </row>
    <row r="894" spans="1:4" x14ac:dyDescent="0.45">
      <c r="A894" s="7">
        <v>45759</v>
      </c>
      <c r="B894" t="s">
        <v>97</v>
      </c>
      <c r="C894" t="s">
        <v>98</v>
      </c>
      <c r="D894" s="8">
        <v>-97.41</v>
      </c>
    </row>
    <row r="895" spans="1:4" x14ac:dyDescent="0.45">
      <c r="A895" s="7">
        <v>45612</v>
      </c>
      <c r="B895" t="s">
        <v>95</v>
      </c>
      <c r="C895" t="s">
        <v>99</v>
      </c>
      <c r="D895" s="8">
        <v>463.84</v>
      </c>
    </row>
    <row r="896" spans="1:4" x14ac:dyDescent="0.45">
      <c r="A896" s="7">
        <v>45775</v>
      </c>
      <c r="B896" t="s">
        <v>93</v>
      </c>
      <c r="C896" t="s">
        <v>94</v>
      </c>
      <c r="D896" s="8">
        <v>-65.12</v>
      </c>
    </row>
    <row r="897" spans="1:4" x14ac:dyDescent="0.45">
      <c r="A897" s="7">
        <v>46070</v>
      </c>
      <c r="B897" t="s">
        <v>93</v>
      </c>
      <c r="C897" t="s">
        <v>94</v>
      </c>
      <c r="D897" s="8">
        <v>269.89999999999998</v>
      </c>
    </row>
    <row r="898" spans="1:4" x14ac:dyDescent="0.45">
      <c r="A898" s="7">
        <v>46032</v>
      </c>
      <c r="B898" t="s">
        <v>95</v>
      </c>
      <c r="C898" t="s">
        <v>99</v>
      </c>
      <c r="D898" s="8">
        <v>438.49</v>
      </c>
    </row>
    <row r="899" spans="1:4" x14ac:dyDescent="0.45">
      <c r="A899" s="7">
        <v>45701</v>
      </c>
      <c r="B899" t="s">
        <v>95</v>
      </c>
      <c r="C899" t="s">
        <v>109</v>
      </c>
      <c r="D899" s="8">
        <v>95.69</v>
      </c>
    </row>
    <row r="900" spans="1:4" x14ac:dyDescent="0.45">
      <c r="A900" s="7">
        <v>46171</v>
      </c>
      <c r="B900" t="s">
        <v>95</v>
      </c>
      <c r="C900" t="s">
        <v>99</v>
      </c>
      <c r="D900" s="8">
        <v>483.24</v>
      </c>
    </row>
    <row r="901" spans="1:4" x14ac:dyDescent="0.45">
      <c r="A901" s="7">
        <v>46101</v>
      </c>
      <c r="B901" t="s">
        <v>95</v>
      </c>
      <c r="C901" t="s">
        <v>102</v>
      </c>
      <c r="D901" s="8">
        <v>437.96</v>
      </c>
    </row>
    <row r="902" spans="1:4" x14ac:dyDescent="0.45">
      <c r="A902" s="7">
        <v>45594</v>
      </c>
      <c r="B902" t="s">
        <v>93</v>
      </c>
      <c r="C902" t="s">
        <v>106</v>
      </c>
      <c r="D902" s="8">
        <v>-102.38</v>
      </c>
    </row>
    <row r="903" spans="1:4" x14ac:dyDescent="0.45">
      <c r="A903" s="7">
        <v>45726</v>
      </c>
      <c r="B903" t="s">
        <v>95</v>
      </c>
      <c r="C903" t="s">
        <v>102</v>
      </c>
      <c r="D903" s="8">
        <v>95.63</v>
      </c>
    </row>
    <row r="904" spans="1:4" x14ac:dyDescent="0.45">
      <c r="A904" s="7">
        <v>45814</v>
      </c>
      <c r="B904" t="s">
        <v>95</v>
      </c>
      <c r="C904" t="s">
        <v>102</v>
      </c>
      <c r="D904" s="8">
        <v>499.33</v>
      </c>
    </row>
    <row r="905" spans="1:4" x14ac:dyDescent="0.45">
      <c r="A905" s="7">
        <v>45328</v>
      </c>
      <c r="B905" t="s">
        <v>97</v>
      </c>
      <c r="C905" t="s">
        <v>104</v>
      </c>
      <c r="D905" s="8">
        <v>469.73</v>
      </c>
    </row>
    <row r="906" spans="1:4" x14ac:dyDescent="0.45">
      <c r="A906" s="7">
        <v>45928</v>
      </c>
      <c r="B906" t="s">
        <v>95</v>
      </c>
      <c r="C906" t="s">
        <v>108</v>
      </c>
      <c r="D906" s="8">
        <v>18.22</v>
      </c>
    </row>
    <row r="907" spans="1:4" x14ac:dyDescent="0.45">
      <c r="A907" s="7">
        <v>46088</v>
      </c>
      <c r="B907" t="s">
        <v>95</v>
      </c>
      <c r="C907" t="s">
        <v>109</v>
      </c>
      <c r="D907" s="8">
        <v>-121.41</v>
      </c>
    </row>
    <row r="908" spans="1:4" x14ac:dyDescent="0.45">
      <c r="A908" s="7">
        <v>45877</v>
      </c>
      <c r="B908" t="s">
        <v>93</v>
      </c>
      <c r="C908" t="s">
        <v>106</v>
      </c>
      <c r="D908" s="8">
        <v>223.96</v>
      </c>
    </row>
    <row r="909" spans="1:4" x14ac:dyDescent="0.45">
      <c r="A909" s="7">
        <v>45491</v>
      </c>
      <c r="B909" t="s">
        <v>95</v>
      </c>
      <c r="C909" t="s">
        <v>109</v>
      </c>
      <c r="D909" s="8">
        <v>-68.959999999999994</v>
      </c>
    </row>
    <row r="910" spans="1:4" x14ac:dyDescent="0.45">
      <c r="A910" s="7">
        <v>45441</v>
      </c>
      <c r="B910" t="s">
        <v>93</v>
      </c>
      <c r="C910" t="s">
        <v>94</v>
      </c>
      <c r="D910" s="8">
        <v>350.34</v>
      </c>
    </row>
    <row r="911" spans="1:4" x14ac:dyDescent="0.45">
      <c r="A911" s="7">
        <v>45674</v>
      </c>
      <c r="B911" t="s">
        <v>95</v>
      </c>
      <c r="C911" t="s">
        <v>99</v>
      </c>
      <c r="D911" s="8">
        <v>-85.46</v>
      </c>
    </row>
    <row r="912" spans="1:4" x14ac:dyDescent="0.45">
      <c r="A912" s="7">
        <v>45786</v>
      </c>
      <c r="B912" t="s">
        <v>97</v>
      </c>
      <c r="C912" t="s">
        <v>107</v>
      </c>
      <c r="D912" s="8">
        <v>287.19</v>
      </c>
    </row>
    <row r="913" spans="1:4" x14ac:dyDescent="0.45">
      <c r="A913" s="7">
        <v>45439</v>
      </c>
      <c r="B913" t="s">
        <v>95</v>
      </c>
      <c r="C913" t="s">
        <v>108</v>
      </c>
      <c r="D913" s="8">
        <v>63.65</v>
      </c>
    </row>
    <row r="914" spans="1:4" x14ac:dyDescent="0.45">
      <c r="A914" s="7">
        <v>45542</v>
      </c>
      <c r="B914" t="s">
        <v>95</v>
      </c>
      <c r="C914" t="s">
        <v>108</v>
      </c>
      <c r="D914" s="8">
        <v>59.93</v>
      </c>
    </row>
    <row r="915" spans="1:4" x14ac:dyDescent="0.45">
      <c r="A915" s="7">
        <v>45715</v>
      </c>
      <c r="B915" t="s">
        <v>93</v>
      </c>
      <c r="C915" t="s">
        <v>106</v>
      </c>
      <c r="D915" s="8">
        <v>-144.91</v>
      </c>
    </row>
    <row r="916" spans="1:4" x14ac:dyDescent="0.45">
      <c r="A916" s="7">
        <v>45864</v>
      </c>
      <c r="B916" t="s">
        <v>97</v>
      </c>
      <c r="C916" t="s">
        <v>101</v>
      </c>
      <c r="D916" s="8">
        <v>-13.33</v>
      </c>
    </row>
    <row r="917" spans="1:4" x14ac:dyDescent="0.45">
      <c r="A917" s="7">
        <v>45573</v>
      </c>
      <c r="B917" t="s">
        <v>95</v>
      </c>
      <c r="C917" t="s">
        <v>109</v>
      </c>
      <c r="D917" s="8">
        <v>342.37</v>
      </c>
    </row>
    <row r="918" spans="1:4" x14ac:dyDescent="0.45">
      <c r="A918" s="7">
        <v>45443</v>
      </c>
      <c r="B918" t="s">
        <v>97</v>
      </c>
      <c r="C918" t="s">
        <v>98</v>
      </c>
      <c r="D918" s="8">
        <v>407.53</v>
      </c>
    </row>
    <row r="919" spans="1:4" x14ac:dyDescent="0.45">
      <c r="A919" s="7">
        <v>45878</v>
      </c>
      <c r="B919" t="s">
        <v>93</v>
      </c>
      <c r="C919" t="s">
        <v>100</v>
      </c>
      <c r="D919" s="8">
        <v>-107.13</v>
      </c>
    </row>
    <row r="920" spans="1:4" x14ac:dyDescent="0.45">
      <c r="A920" s="7">
        <v>45944</v>
      </c>
      <c r="B920" t="s">
        <v>93</v>
      </c>
      <c r="C920" t="s">
        <v>94</v>
      </c>
      <c r="D920" s="8">
        <v>246.2</v>
      </c>
    </row>
    <row r="921" spans="1:4" x14ac:dyDescent="0.45">
      <c r="A921" s="7">
        <v>45558</v>
      </c>
      <c r="B921" t="s">
        <v>93</v>
      </c>
      <c r="C921" t="s">
        <v>100</v>
      </c>
      <c r="D921" s="8">
        <v>-122.66</v>
      </c>
    </row>
    <row r="922" spans="1:4" x14ac:dyDescent="0.45">
      <c r="A922" s="7">
        <v>45421</v>
      </c>
      <c r="B922" t="s">
        <v>95</v>
      </c>
      <c r="C922" t="s">
        <v>96</v>
      </c>
      <c r="D922" s="8">
        <v>391.01</v>
      </c>
    </row>
    <row r="923" spans="1:4" x14ac:dyDescent="0.45">
      <c r="A923" s="7">
        <v>45889</v>
      </c>
      <c r="B923" t="s">
        <v>97</v>
      </c>
      <c r="C923" t="s">
        <v>98</v>
      </c>
      <c r="D923" s="8">
        <v>418.13</v>
      </c>
    </row>
    <row r="924" spans="1:4" x14ac:dyDescent="0.45">
      <c r="A924" s="7">
        <v>45899</v>
      </c>
      <c r="B924" t="s">
        <v>97</v>
      </c>
      <c r="C924" t="s">
        <v>101</v>
      </c>
      <c r="D924" s="8">
        <v>-48.99</v>
      </c>
    </row>
    <row r="925" spans="1:4" x14ac:dyDescent="0.45">
      <c r="A925" s="7">
        <v>45533</v>
      </c>
      <c r="B925" t="s">
        <v>97</v>
      </c>
      <c r="C925" t="s">
        <v>98</v>
      </c>
      <c r="D925" s="8">
        <v>132.53</v>
      </c>
    </row>
    <row r="926" spans="1:4" x14ac:dyDescent="0.45">
      <c r="A926" s="7">
        <v>45720</v>
      </c>
      <c r="B926" t="s">
        <v>95</v>
      </c>
      <c r="C926" t="s">
        <v>105</v>
      </c>
      <c r="D926" s="8">
        <v>42.82</v>
      </c>
    </row>
    <row r="927" spans="1:4" x14ac:dyDescent="0.45">
      <c r="A927" s="7">
        <v>45716</v>
      </c>
      <c r="B927" t="s">
        <v>97</v>
      </c>
      <c r="C927" t="s">
        <v>98</v>
      </c>
      <c r="D927" s="8">
        <v>-88.92</v>
      </c>
    </row>
    <row r="928" spans="1:4" x14ac:dyDescent="0.45">
      <c r="A928" s="7">
        <v>45604</v>
      </c>
      <c r="B928" t="s">
        <v>95</v>
      </c>
      <c r="C928" t="s">
        <v>102</v>
      </c>
      <c r="D928" s="8">
        <v>242.47</v>
      </c>
    </row>
    <row r="929" spans="1:4" x14ac:dyDescent="0.45">
      <c r="A929" s="7">
        <v>45707</v>
      </c>
      <c r="B929" t="s">
        <v>97</v>
      </c>
      <c r="C929" t="s">
        <v>104</v>
      </c>
      <c r="D929" s="8">
        <v>-39.11</v>
      </c>
    </row>
    <row r="930" spans="1:4" x14ac:dyDescent="0.45">
      <c r="A930" s="7">
        <v>45856</v>
      </c>
      <c r="B930" t="s">
        <v>93</v>
      </c>
      <c r="C930" t="s">
        <v>94</v>
      </c>
      <c r="D930" s="8">
        <v>339.34</v>
      </c>
    </row>
    <row r="931" spans="1:4" x14ac:dyDescent="0.45">
      <c r="A931" s="7">
        <v>46066</v>
      </c>
      <c r="B931" t="s">
        <v>93</v>
      </c>
      <c r="C931" t="s">
        <v>106</v>
      </c>
      <c r="D931" s="8">
        <v>-117</v>
      </c>
    </row>
    <row r="932" spans="1:4" x14ac:dyDescent="0.45">
      <c r="A932" s="7">
        <v>46184</v>
      </c>
      <c r="B932" t="s">
        <v>97</v>
      </c>
      <c r="C932" t="s">
        <v>107</v>
      </c>
      <c r="D932" s="8">
        <v>-11.98</v>
      </c>
    </row>
    <row r="933" spans="1:4" x14ac:dyDescent="0.45">
      <c r="A933" s="7">
        <v>46081</v>
      </c>
      <c r="B933" t="s">
        <v>95</v>
      </c>
      <c r="C933" t="s">
        <v>99</v>
      </c>
      <c r="D933" s="8">
        <v>37.32</v>
      </c>
    </row>
    <row r="934" spans="1:4" x14ac:dyDescent="0.45">
      <c r="A934" s="7">
        <v>45324</v>
      </c>
      <c r="B934" t="s">
        <v>97</v>
      </c>
      <c r="C934" t="s">
        <v>101</v>
      </c>
      <c r="D934" s="8">
        <v>-25.5</v>
      </c>
    </row>
    <row r="935" spans="1:4" x14ac:dyDescent="0.45">
      <c r="A935" s="7">
        <v>45730</v>
      </c>
      <c r="B935" t="s">
        <v>93</v>
      </c>
      <c r="C935" t="s">
        <v>106</v>
      </c>
      <c r="D935" s="8">
        <v>403.83</v>
      </c>
    </row>
    <row r="936" spans="1:4" x14ac:dyDescent="0.45">
      <c r="A936" s="7">
        <v>45845</v>
      </c>
      <c r="B936" t="s">
        <v>95</v>
      </c>
      <c r="C936" t="s">
        <v>108</v>
      </c>
      <c r="D936" s="8">
        <v>493.25</v>
      </c>
    </row>
    <row r="937" spans="1:4" x14ac:dyDescent="0.45">
      <c r="A937" s="7">
        <v>45731</v>
      </c>
      <c r="B937" t="s">
        <v>97</v>
      </c>
      <c r="C937" t="s">
        <v>104</v>
      </c>
      <c r="D937" s="8">
        <v>215.25</v>
      </c>
    </row>
    <row r="938" spans="1:4" x14ac:dyDescent="0.45">
      <c r="A938" s="7">
        <v>45604</v>
      </c>
      <c r="B938" t="s">
        <v>93</v>
      </c>
      <c r="C938" t="s">
        <v>94</v>
      </c>
      <c r="D938" s="8">
        <v>-129.84</v>
      </c>
    </row>
    <row r="939" spans="1:4" x14ac:dyDescent="0.45">
      <c r="A939" s="7">
        <v>45797</v>
      </c>
      <c r="B939" t="s">
        <v>97</v>
      </c>
      <c r="C939" t="s">
        <v>98</v>
      </c>
      <c r="D939" s="8">
        <v>429.07</v>
      </c>
    </row>
    <row r="940" spans="1:4" x14ac:dyDescent="0.45">
      <c r="A940" s="7">
        <v>46113</v>
      </c>
      <c r="B940" t="s">
        <v>97</v>
      </c>
      <c r="C940" t="s">
        <v>107</v>
      </c>
      <c r="D940" s="8">
        <v>-120.77</v>
      </c>
    </row>
    <row r="941" spans="1:4" x14ac:dyDescent="0.45">
      <c r="A941" s="7">
        <v>45892</v>
      </c>
      <c r="B941" t="s">
        <v>93</v>
      </c>
      <c r="C941" t="s">
        <v>103</v>
      </c>
      <c r="D941" s="8">
        <v>-74.3</v>
      </c>
    </row>
    <row r="942" spans="1:4" x14ac:dyDescent="0.45">
      <c r="A942" s="7">
        <v>45774</v>
      </c>
      <c r="B942" t="s">
        <v>97</v>
      </c>
      <c r="C942" t="s">
        <v>107</v>
      </c>
      <c r="D942" s="8">
        <v>105.22</v>
      </c>
    </row>
    <row r="943" spans="1:4" x14ac:dyDescent="0.45">
      <c r="A943" s="7">
        <v>45512</v>
      </c>
      <c r="B943" t="s">
        <v>93</v>
      </c>
      <c r="C943" t="s">
        <v>106</v>
      </c>
      <c r="D943" s="8">
        <v>199.83</v>
      </c>
    </row>
    <row r="944" spans="1:4" x14ac:dyDescent="0.45">
      <c r="A944" s="7">
        <v>46089</v>
      </c>
      <c r="B944" t="s">
        <v>95</v>
      </c>
      <c r="C944" t="s">
        <v>108</v>
      </c>
      <c r="D944" s="8">
        <v>382.62</v>
      </c>
    </row>
    <row r="945" spans="1:4" x14ac:dyDescent="0.45">
      <c r="A945" s="7">
        <v>45957</v>
      </c>
      <c r="B945" t="s">
        <v>93</v>
      </c>
      <c r="C945" t="s">
        <v>94</v>
      </c>
      <c r="D945" s="8">
        <v>316.54000000000002</v>
      </c>
    </row>
    <row r="946" spans="1:4" x14ac:dyDescent="0.45">
      <c r="A946" s="7">
        <v>45957</v>
      </c>
      <c r="B946" t="s">
        <v>95</v>
      </c>
      <c r="C946" t="s">
        <v>102</v>
      </c>
      <c r="D946" s="8">
        <v>224.72</v>
      </c>
    </row>
    <row r="947" spans="1:4" x14ac:dyDescent="0.45">
      <c r="A947" s="7">
        <v>45992</v>
      </c>
      <c r="B947" t="s">
        <v>93</v>
      </c>
      <c r="C947" t="s">
        <v>94</v>
      </c>
      <c r="D947" s="8">
        <v>-47.17</v>
      </c>
    </row>
    <row r="948" spans="1:4" x14ac:dyDescent="0.45">
      <c r="A948" s="7">
        <v>45784</v>
      </c>
      <c r="B948" t="s">
        <v>93</v>
      </c>
      <c r="C948" t="s">
        <v>103</v>
      </c>
      <c r="D948" s="8">
        <v>414.53</v>
      </c>
    </row>
    <row r="949" spans="1:4" x14ac:dyDescent="0.45">
      <c r="A949" s="7">
        <v>46117</v>
      </c>
      <c r="B949" t="s">
        <v>93</v>
      </c>
      <c r="C949" t="s">
        <v>94</v>
      </c>
      <c r="D949" s="8">
        <v>-87.66</v>
      </c>
    </row>
    <row r="950" spans="1:4" x14ac:dyDescent="0.45">
      <c r="A950" s="7">
        <v>46057</v>
      </c>
      <c r="B950" t="s">
        <v>95</v>
      </c>
      <c r="C950" t="s">
        <v>109</v>
      </c>
      <c r="D950" s="8">
        <v>48.15</v>
      </c>
    </row>
    <row r="951" spans="1:4" x14ac:dyDescent="0.45">
      <c r="A951" s="7">
        <v>45843</v>
      </c>
      <c r="B951" t="s">
        <v>97</v>
      </c>
      <c r="C951" t="s">
        <v>104</v>
      </c>
      <c r="D951" s="8">
        <v>421.92</v>
      </c>
    </row>
    <row r="952" spans="1:4" x14ac:dyDescent="0.45">
      <c r="A952" s="7">
        <v>45409</v>
      </c>
      <c r="B952" t="s">
        <v>93</v>
      </c>
      <c r="C952" t="s">
        <v>94</v>
      </c>
      <c r="D952" s="8">
        <v>258.43</v>
      </c>
    </row>
    <row r="953" spans="1:4" x14ac:dyDescent="0.45">
      <c r="A953" s="7">
        <v>45726</v>
      </c>
      <c r="B953" t="s">
        <v>95</v>
      </c>
      <c r="C953" t="s">
        <v>99</v>
      </c>
      <c r="D953" s="8">
        <v>160.38</v>
      </c>
    </row>
    <row r="954" spans="1:4" x14ac:dyDescent="0.45">
      <c r="A954" s="7">
        <v>45852</v>
      </c>
      <c r="B954" t="s">
        <v>93</v>
      </c>
      <c r="C954" t="s">
        <v>103</v>
      </c>
      <c r="D954" s="8">
        <v>153.87</v>
      </c>
    </row>
    <row r="955" spans="1:4" x14ac:dyDescent="0.45">
      <c r="A955" s="7">
        <v>46029</v>
      </c>
      <c r="B955" t="s">
        <v>95</v>
      </c>
      <c r="C955" t="s">
        <v>102</v>
      </c>
      <c r="D955" s="8">
        <v>11.8</v>
      </c>
    </row>
    <row r="956" spans="1:4" x14ac:dyDescent="0.45">
      <c r="A956" s="7">
        <v>45906</v>
      </c>
      <c r="B956" t="s">
        <v>97</v>
      </c>
      <c r="C956" t="s">
        <v>104</v>
      </c>
      <c r="D956" s="8">
        <v>158.13</v>
      </c>
    </row>
    <row r="957" spans="1:4" x14ac:dyDescent="0.45">
      <c r="A957" s="7">
        <v>45929</v>
      </c>
      <c r="B957" t="s">
        <v>93</v>
      </c>
      <c r="C957" t="s">
        <v>106</v>
      </c>
      <c r="D957" s="8">
        <v>43.89</v>
      </c>
    </row>
    <row r="958" spans="1:4" x14ac:dyDescent="0.45">
      <c r="A958" s="7">
        <v>46004</v>
      </c>
      <c r="B958" t="s">
        <v>97</v>
      </c>
      <c r="C958" t="s">
        <v>107</v>
      </c>
      <c r="D958" s="8">
        <v>209.43</v>
      </c>
    </row>
    <row r="959" spans="1:4" x14ac:dyDescent="0.45">
      <c r="A959" s="7">
        <v>45687</v>
      </c>
      <c r="B959" t="s">
        <v>93</v>
      </c>
      <c r="C959" t="s">
        <v>94</v>
      </c>
      <c r="D959" s="8">
        <v>86.91</v>
      </c>
    </row>
    <row r="960" spans="1:4" x14ac:dyDescent="0.45">
      <c r="A960" s="7">
        <v>46079</v>
      </c>
      <c r="B960" t="s">
        <v>97</v>
      </c>
      <c r="C960" t="s">
        <v>98</v>
      </c>
      <c r="D960" s="8">
        <v>472.73</v>
      </c>
    </row>
    <row r="961" spans="1:4" x14ac:dyDescent="0.45">
      <c r="A961" s="7">
        <v>45984</v>
      </c>
      <c r="B961" t="s">
        <v>93</v>
      </c>
      <c r="C961" t="s">
        <v>94</v>
      </c>
      <c r="D961" s="8">
        <v>484.8</v>
      </c>
    </row>
    <row r="962" spans="1:4" x14ac:dyDescent="0.45">
      <c r="A962" s="7">
        <v>46074</v>
      </c>
      <c r="B962" t="s">
        <v>95</v>
      </c>
      <c r="C962" t="s">
        <v>99</v>
      </c>
      <c r="D962" s="8">
        <v>326.62</v>
      </c>
    </row>
    <row r="963" spans="1:4" x14ac:dyDescent="0.45">
      <c r="A963" s="7">
        <v>45759</v>
      </c>
      <c r="B963" t="s">
        <v>97</v>
      </c>
      <c r="C963" t="s">
        <v>104</v>
      </c>
      <c r="D963" s="8">
        <v>-88.21</v>
      </c>
    </row>
    <row r="964" spans="1:4" x14ac:dyDescent="0.45">
      <c r="A964" s="7">
        <v>45359</v>
      </c>
      <c r="B964" t="s">
        <v>93</v>
      </c>
      <c r="C964" t="s">
        <v>94</v>
      </c>
      <c r="D964" s="8">
        <v>290.20999999999998</v>
      </c>
    </row>
    <row r="965" spans="1:4" x14ac:dyDescent="0.45">
      <c r="A965" s="7">
        <v>45313</v>
      </c>
      <c r="B965" t="s">
        <v>95</v>
      </c>
      <c r="C965" t="s">
        <v>102</v>
      </c>
      <c r="D965" s="8">
        <v>-33.479999999999997</v>
      </c>
    </row>
    <row r="966" spans="1:4" x14ac:dyDescent="0.45">
      <c r="A966" s="7">
        <v>46132</v>
      </c>
      <c r="B966" t="s">
        <v>93</v>
      </c>
      <c r="C966" t="s">
        <v>106</v>
      </c>
      <c r="D966" s="8">
        <v>387.75</v>
      </c>
    </row>
    <row r="967" spans="1:4" x14ac:dyDescent="0.45">
      <c r="A967" s="7">
        <v>45921</v>
      </c>
      <c r="B967" t="s">
        <v>97</v>
      </c>
      <c r="C967" t="s">
        <v>104</v>
      </c>
      <c r="D967" s="8">
        <v>-41.58</v>
      </c>
    </row>
    <row r="968" spans="1:4" x14ac:dyDescent="0.45">
      <c r="A968" s="7">
        <v>45956</v>
      </c>
      <c r="B968" t="s">
        <v>93</v>
      </c>
      <c r="C968" t="s">
        <v>106</v>
      </c>
      <c r="D968" s="8">
        <v>-135.04</v>
      </c>
    </row>
    <row r="969" spans="1:4" x14ac:dyDescent="0.45">
      <c r="A969" s="7">
        <v>45407</v>
      </c>
      <c r="B969" t="s">
        <v>95</v>
      </c>
      <c r="C969" t="s">
        <v>105</v>
      </c>
      <c r="D969" s="8">
        <v>-130.75</v>
      </c>
    </row>
    <row r="970" spans="1:4" x14ac:dyDescent="0.45">
      <c r="A970" s="7">
        <v>45592</v>
      </c>
      <c r="B970" t="s">
        <v>93</v>
      </c>
      <c r="C970" t="s">
        <v>103</v>
      </c>
      <c r="D970" s="8">
        <v>240.25</v>
      </c>
    </row>
    <row r="971" spans="1:4" x14ac:dyDescent="0.45">
      <c r="A971" s="7">
        <v>45600</v>
      </c>
      <c r="B971" t="s">
        <v>97</v>
      </c>
      <c r="C971" t="s">
        <v>107</v>
      </c>
      <c r="D971" s="8">
        <v>326.66000000000003</v>
      </c>
    </row>
    <row r="972" spans="1:4" x14ac:dyDescent="0.45">
      <c r="A972" s="7">
        <v>45605</v>
      </c>
      <c r="B972" t="s">
        <v>93</v>
      </c>
      <c r="C972" t="s">
        <v>103</v>
      </c>
      <c r="D972" s="8">
        <v>-1.0900000000000001</v>
      </c>
    </row>
    <row r="973" spans="1:4" x14ac:dyDescent="0.45">
      <c r="A973" s="7">
        <v>45736</v>
      </c>
      <c r="B973" t="s">
        <v>97</v>
      </c>
      <c r="C973" t="s">
        <v>107</v>
      </c>
      <c r="D973" s="8">
        <v>231.85</v>
      </c>
    </row>
    <row r="974" spans="1:4" x14ac:dyDescent="0.45">
      <c r="A974" s="7">
        <v>45520</v>
      </c>
      <c r="B974" t="s">
        <v>93</v>
      </c>
      <c r="C974" t="s">
        <v>106</v>
      </c>
      <c r="D974" s="8">
        <v>98.14</v>
      </c>
    </row>
    <row r="975" spans="1:4" x14ac:dyDescent="0.45">
      <c r="A975" s="7">
        <v>45668</v>
      </c>
      <c r="B975" t="s">
        <v>97</v>
      </c>
      <c r="C975" t="s">
        <v>107</v>
      </c>
      <c r="D975" s="8">
        <v>38.340000000000003</v>
      </c>
    </row>
    <row r="976" spans="1:4" x14ac:dyDescent="0.45">
      <c r="A976" s="7">
        <v>46053</v>
      </c>
      <c r="B976" t="s">
        <v>93</v>
      </c>
      <c r="C976" t="s">
        <v>106</v>
      </c>
      <c r="D976" s="8">
        <v>457.59</v>
      </c>
    </row>
    <row r="977" spans="1:4" x14ac:dyDescent="0.45">
      <c r="A977" s="7">
        <v>45319</v>
      </c>
      <c r="B977" t="s">
        <v>95</v>
      </c>
      <c r="C977" t="s">
        <v>102</v>
      </c>
      <c r="D977" s="8">
        <v>448.2</v>
      </c>
    </row>
    <row r="978" spans="1:4" x14ac:dyDescent="0.45">
      <c r="A978" s="7">
        <v>45566</v>
      </c>
      <c r="B978" t="s">
        <v>95</v>
      </c>
      <c r="C978" t="s">
        <v>105</v>
      </c>
      <c r="D978" s="8">
        <v>203.67</v>
      </c>
    </row>
    <row r="979" spans="1:4" x14ac:dyDescent="0.45">
      <c r="A979" s="7">
        <v>45925</v>
      </c>
      <c r="B979" t="s">
        <v>97</v>
      </c>
      <c r="C979" t="s">
        <v>107</v>
      </c>
      <c r="D979" s="8">
        <v>-73.209999999999994</v>
      </c>
    </row>
    <row r="980" spans="1:4" x14ac:dyDescent="0.45">
      <c r="A980" s="7">
        <v>45868</v>
      </c>
      <c r="B980" t="s">
        <v>93</v>
      </c>
      <c r="C980" t="s">
        <v>100</v>
      </c>
      <c r="D980" s="8">
        <v>232.16</v>
      </c>
    </row>
    <row r="981" spans="1:4" x14ac:dyDescent="0.45">
      <c r="A981" s="7">
        <v>45783</v>
      </c>
      <c r="B981" t="s">
        <v>97</v>
      </c>
      <c r="C981" t="s">
        <v>101</v>
      </c>
      <c r="D981" s="8">
        <v>404.11</v>
      </c>
    </row>
    <row r="982" spans="1:4" x14ac:dyDescent="0.45">
      <c r="A982" s="7">
        <v>45309</v>
      </c>
      <c r="B982" t="s">
        <v>95</v>
      </c>
      <c r="C982" t="s">
        <v>108</v>
      </c>
      <c r="D982" s="8">
        <v>259.82</v>
      </c>
    </row>
    <row r="983" spans="1:4" x14ac:dyDescent="0.45">
      <c r="A983" s="7">
        <v>45526</v>
      </c>
      <c r="B983" t="s">
        <v>97</v>
      </c>
      <c r="C983" t="s">
        <v>107</v>
      </c>
      <c r="D983" s="8">
        <v>188.74</v>
      </c>
    </row>
    <row r="984" spans="1:4" x14ac:dyDescent="0.45">
      <c r="A984" s="7">
        <v>45593</v>
      </c>
      <c r="B984" t="s">
        <v>95</v>
      </c>
      <c r="C984" t="s">
        <v>96</v>
      </c>
      <c r="D984" s="8">
        <v>-99.86</v>
      </c>
    </row>
    <row r="985" spans="1:4" x14ac:dyDescent="0.45">
      <c r="A985" s="7">
        <v>46159</v>
      </c>
      <c r="B985" t="s">
        <v>95</v>
      </c>
      <c r="C985" t="s">
        <v>105</v>
      </c>
      <c r="D985" s="8">
        <v>75.16</v>
      </c>
    </row>
    <row r="986" spans="1:4" x14ac:dyDescent="0.45">
      <c r="A986" s="7">
        <v>45937</v>
      </c>
      <c r="B986" t="s">
        <v>95</v>
      </c>
      <c r="C986" t="s">
        <v>99</v>
      </c>
      <c r="D986" s="8">
        <v>-0.87</v>
      </c>
    </row>
    <row r="987" spans="1:4" x14ac:dyDescent="0.45">
      <c r="A987" s="7">
        <v>45670</v>
      </c>
      <c r="B987" t="s">
        <v>95</v>
      </c>
      <c r="C987" t="s">
        <v>96</v>
      </c>
      <c r="D987" s="8">
        <v>442.39</v>
      </c>
    </row>
    <row r="988" spans="1:4" x14ac:dyDescent="0.45">
      <c r="A988" s="7">
        <v>45365</v>
      </c>
      <c r="B988" t="s">
        <v>93</v>
      </c>
      <c r="C988" t="s">
        <v>100</v>
      </c>
      <c r="D988" s="8">
        <v>232.04</v>
      </c>
    </row>
    <row r="989" spans="1:4" x14ac:dyDescent="0.45">
      <c r="A989" s="7">
        <v>45959</v>
      </c>
      <c r="B989" t="s">
        <v>93</v>
      </c>
      <c r="C989" t="s">
        <v>106</v>
      </c>
      <c r="D989" s="8">
        <v>342.88</v>
      </c>
    </row>
    <row r="990" spans="1:4" x14ac:dyDescent="0.45">
      <c r="A990" s="7">
        <v>46118</v>
      </c>
      <c r="B990" t="s">
        <v>95</v>
      </c>
      <c r="C990" t="s">
        <v>99</v>
      </c>
      <c r="D990" s="8">
        <v>113.46</v>
      </c>
    </row>
    <row r="991" spans="1:4" x14ac:dyDescent="0.45">
      <c r="A991" s="7">
        <v>45951</v>
      </c>
      <c r="B991" t="s">
        <v>95</v>
      </c>
      <c r="C991" t="s">
        <v>102</v>
      </c>
      <c r="D991" s="8">
        <v>288.67</v>
      </c>
    </row>
    <row r="992" spans="1:4" x14ac:dyDescent="0.45">
      <c r="A992" s="7">
        <v>45640</v>
      </c>
      <c r="B992" t="s">
        <v>95</v>
      </c>
      <c r="C992" t="s">
        <v>96</v>
      </c>
      <c r="D992" s="8">
        <v>-103.91</v>
      </c>
    </row>
    <row r="993" spans="1:4" x14ac:dyDescent="0.45">
      <c r="A993" s="7">
        <v>46006</v>
      </c>
      <c r="B993" t="s">
        <v>93</v>
      </c>
      <c r="C993" t="s">
        <v>106</v>
      </c>
      <c r="D993" s="8">
        <v>262.89999999999998</v>
      </c>
    </row>
    <row r="994" spans="1:4" x14ac:dyDescent="0.45">
      <c r="A994" s="7">
        <v>45982</v>
      </c>
      <c r="B994" t="s">
        <v>93</v>
      </c>
      <c r="C994" t="s">
        <v>94</v>
      </c>
      <c r="D994" s="8">
        <v>-66.739999999999995</v>
      </c>
    </row>
    <row r="995" spans="1:4" x14ac:dyDescent="0.45">
      <c r="A995" s="7">
        <v>45819</v>
      </c>
      <c r="B995" t="s">
        <v>95</v>
      </c>
      <c r="C995" t="s">
        <v>102</v>
      </c>
      <c r="D995" s="8">
        <v>-69.38</v>
      </c>
    </row>
    <row r="996" spans="1:4" x14ac:dyDescent="0.45">
      <c r="A996" s="7">
        <v>46093</v>
      </c>
      <c r="B996" t="s">
        <v>93</v>
      </c>
      <c r="C996" t="s">
        <v>106</v>
      </c>
      <c r="D996" s="8">
        <v>49.76</v>
      </c>
    </row>
    <row r="997" spans="1:4" x14ac:dyDescent="0.45">
      <c r="A997" s="7">
        <v>45811</v>
      </c>
      <c r="B997" t="s">
        <v>95</v>
      </c>
      <c r="C997" t="s">
        <v>105</v>
      </c>
      <c r="D997" s="8">
        <v>216.72</v>
      </c>
    </row>
    <row r="998" spans="1:4" x14ac:dyDescent="0.45">
      <c r="A998" s="7">
        <v>46091</v>
      </c>
      <c r="B998" t="s">
        <v>97</v>
      </c>
      <c r="C998" t="s">
        <v>104</v>
      </c>
      <c r="D998" s="8">
        <v>303.14999999999998</v>
      </c>
    </row>
    <row r="999" spans="1:4" x14ac:dyDescent="0.45">
      <c r="A999" s="7">
        <v>45473</v>
      </c>
      <c r="B999" t="s">
        <v>97</v>
      </c>
      <c r="C999" t="s">
        <v>101</v>
      </c>
      <c r="D999" s="8">
        <v>205.55</v>
      </c>
    </row>
    <row r="1000" spans="1:4" x14ac:dyDescent="0.45">
      <c r="A1000" s="7">
        <v>45864</v>
      </c>
      <c r="B1000" t="s">
        <v>97</v>
      </c>
      <c r="C1000" t="s">
        <v>107</v>
      </c>
      <c r="D1000" s="8">
        <v>485.99</v>
      </c>
    </row>
    <row r="1001" spans="1:4" x14ac:dyDescent="0.45">
      <c r="A1001" s="7">
        <v>46116</v>
      </c>
      <c r="B1001" t="s">
        <v>97</v>
      </c>
      <c r="C1001" t="s">
        <v>98</v>
      </c>
      <c r="D1001" s="8">
        <v>-12.92</v>
      </c>
    </row>
    <row r="1002" spans="1:4" x14ac:dyDescent="0.45">
      <c r="A1002" s="7">
        <v>45430</v>
      </c>
      <c r="B1002" t="s">
        <v>95</v>
      </c>
      <c r="C1002" t="s">
        <v>105</v>
      </c>
      <c r="D1002" s="8">
        <v>252.87</v>
      </c>
    </row>
    <row r="1003" spans="1:4" x14ac:dyDescent="0.45">
      <c r="A1003" s="7">
        <v>45349</v>
      </c>
      <c r="B1003" t="s">
        <v>95</v>
      </c>
      <c r="C1003" t="s">
        <v>102</v>
      </c>
      <c r="D1003" s="8">
        <v>119.81</v>
      </c>
    </row>
    <row r="1004" spans="1:4" x14ac:dyDescent="0.45">
      <c r="A1004" s="7">
        <v>45855</v>
      </c>
      <c r="B1004" t="s">
        <v>97</v>
      </c>
      <c r="C1004" t="s">
        <v>107</v>
      </c>
      <c r="D1004" s="8">
        <v>260.43</v>
      </c>
    </row>
    <row r="1005" spans="1:4" x14ac:dyDescent="0.45">
      <c r="A1005" s="7">
        <v>45945</v>
      </c>
      <c r="B1005" t="s">
        <v>93</v>
      </c>
      <c r="C1005" t="s">
        <v>100</v>
      </c>
      <c r="D1005" s="8">
        <v>433.94</v>
      </c>
    </row>
    <row r="1006" spans="1:4" x14ac:dyDescent="0.45">
      <c r="A1006" s="7">
        <v>45960</v>
      </c>
      <c r="B1006" t="s">
        <v>93</v>
      </c>
      <c r="C1006" t="s">
        <v>100</v>
      </c>
      <c r="D1006" s="8">
        <v>468.62</v>
      </c>
    </row>
    <row r="1007" spans="1:4" x14ac:dyDescent="0.45">
      <c r="A1007" s="7">
        <v>45724</v>
      </c>
      <c r="B1007" t="s">
        <v>95</v>
      </c>
      <c r="C1007" t="s">
        <v>109</v>
      </c>
      <c r="D1007" s="8">
        <v>238.73</v>
      </c>
    </row>
    <row r="1008" spans="1:4" x14ac:dyDescent="0.45">
      <c r="A1008" s="7">
        <v>46038</v>
      </c>
      <c r="B1008" t="s">
        <v>95</v>
      </c>
      <c r="C1008" t="s">
        <v>96</v>
      </c>
      <c r="D1008" s="8">
        <v>338.06</v>
      </c>
    </row>
    <row r="1009" spans="1:4" x14ac:dyDescent="0.45">
      <c r="A1009" s="7">
        <v>45826</v>
      </c>
      <c r="B1009" t="s">
        <v>93</v>
      </c>
      <c r="C1009" t="s">
        <v>94</v>
      </c>
      <c r="D1009" s="8">
        <v>72.849999999999994</v>
      </c>
    </row>
    <row r="1010" spans="1:4" x14ac:dyDescent="0.45">
      <c r="A1010" s="7">
        <v>45695</v>
      </c>
      <c r="B1010" t="s">
        <v>97</v>
      </c>
      <c r="C1010" t="s">
        <v>107</v>
      </c>
      <c r="D1010" s="8">
        <v>116.54</v>
      </c>
    </row>
    <row r="1011" spans="1:4" x14ac:dyDescent="0.45">
      <c r="A1011" s="7">
        <v>45644</v>
      </c>
      <c r="B1011" t="s">
        <v>97</v>
      </c>
      <c r="C1011" t="s">
        <v>101</v>
      </c>
      <c r="D1011" s="8">
        <v>472.73</v>
      </c>
    </row>
    <row r="1012" spans="1:4" x14ac:dyDescent="0.45">
      <c r="A1012" s="7">
        <v>45344</v>
      </c>
      <c r="B1012" t="s">
        <v>95</v>
      </c>
      <c r="C1012" t="s">
        <v>105</v>
      </c>
      <c r="D1012" s="8">
        <v>468.27</v>
      </c>
    </row>
    <row r="1013" spans="1:4" x14ac:dyDescent="0.45">
      <c r="A1013" s="7">
        <v>45361</v>
      </c>
      <c r="B1013" t="s">
        <v>95</v>
      </c>
      <c r="C1013" t="s">
        <v>102</v>
      </c>
      <c r="D1013" s="8">
        <v>370.24</v>
      </c>
    </row>
    <row r="1014" spans="1:4" x14ac:dyDescent="0.45">
      <c r="A1014" s="7">
        <v>45531</v>
      </c>
      <c r="B1014" t="s">
        <v>93</v>
      </c>
      <c r="C1014" t="s">
        <v>103</v>
      </c>
      <c r="D1014" s="8">
        <v>220.55</v>
      </c>
    </row>
    <row r="1015" spans="1:4" x14ac:dyDescent="0.45">
      <c r="A1015" s="7">
        <v>45470</v>
      </c>
      <c r="B1015" t="s">
        <v>97</v>
      </c>
      <c r="C1015" t="s">
        <v>101</v>
      </c>
      <c r="D1015" s="8">
        <v>3.07</v>
      </c>
    </row>
    <row r="1016" spans="1:4" x14ac:dyDescent="0.45">
      <c r="A1016" s="7">
        <v>46113</v>
      </c>
      <c r="B1016" t="s">
        <v>93</v>
      </c>
      <c r="C1016" t="s">
        <v>106</v>
      </c>
      <c r="D1016" s="8">
        <v>435.67</v>
      </c>
    </row>
    <row r="1017" spans="1:4" x14ac:dyDescent="0.45">
      <c r="A1017" s="7">
        <v>45759</v>
      </c>
      <c r="B1017" t="s">
        <v>97</v>
      </c>
      <c r="C1017" t="s">
        <v>98</v>
      </c>
      <c r="D1017" s="8">
        <v>366.84</v>
      </c>
    </row>
    <row r="1018" spans="1:4" x14ac:dyDescent="0.45">
      <c r="A1018" s="7">
        <v>45962</v>
      </c>
      <c r="B1018" t="s">
        <v>97</v>
      </c>
      <c r="C1018" t="s">
        <v>98</v>
      </c>
      <c r="D1018" s="8">
        <v>-10.93</v>
      </c>
    </row>
    <row r="1019" spans="1:4" x14ac:dyDescent="0.45">
      <c r="A1019" s="7">
        <v>46040</v>
      </c>
      <c r="B1019" t="s">
        <v>95</v>
      </c>
      <c r="C1019" t="s">
        <v>105</v>
      </c>
      <c r="D1019" s="8">
        <v>222.04</v>
      </c>
    </row>
    <row r="1020" spans="1:4" x14ac:dyDescent="0.45">
      <c r="A1020" s="7">
        <v>45398</v>
      </c>
      <c r="B1020" t="s">
        <v>93</v>
      </c>
      <c r="C1020" t="s">
        <v>103</v>
      </c>
      <c r="D1020" s="8">
        <v>-125.16</v>
      </c>
    </row>
    <row r="1021" spans="1:4" x14ac:dyDescent="0.45">
      <c r="A1021" s="7">
        <v>45313</v>
      </c>
      <c r="B1021" t="s">
        <v>95</v>
      </c>
      <c r="C1021" t="s">
        <v>102</v>
      </c>
      <c r="D1021" s="8">
        <v>200.86</v>
      </c>
    </row>
    <row r="1022" spans="1:4" x14ac:dyDescent="0.45">
      <c r="A1022" s="7">
        <v>45527</v>
      </c>
      <c r="B1022" t="s">
        <v>95</v>
      </c>
      <c r="C1022" t="s">
        <v>99</v>
      </c>
      <c r="D1022" s="8">
        <v>202.96</v>
      </c>
    </row>
    <row r="1023" spans="1:4" x14ac:dyDescent="0.45">
      <c r="A1023" s="7">
        <v>45666</v>
      </c>
      <c r="B1023" t="s">
        <v>97</v>
      </c>
      <c r="C1023" t="s">
        <v>107</v>
      </c>
      <c r="D1023" s="8">
        <v>256.41000000000003</v>
      </c>
    </row>
    <row r="1024" spans="1:4" x14ac:dyDescent="0.45">
      <c r="A1024" s="7">
        <v>45749</v>
      </c>
      <c r="B1024" t="s">
        <v>93</v>
      </c>
      <c r="C1024" t="s">
        <v>103</v>
      </c>
      <c r="D1024" s="8">
        <v>-11.56</v>
      </c>
    </row>
    <row r="1025" spans="1:4" x14ac:dyDescent="0.45">
      <c r="A1025" s="7">
        <v>45481</v>
      </c>
      <c r="B1025" t="s">
        <v>97</v>
      </c>
      <c r="C1025" t="s">
        <v>98</v>
      </c>
      <c r="D1025" s="8">
        <v>314.70999999999998</v>
      </c>
    </row>
    <row r="1026" spans="1:4" x14ac:dyDescent="0.45">
      <c r="A1026" s="7">
        <v>46127</v>
      </c>
      <c r="B1026" t="s">
        <v>93</v>
      </c>
      <c r="C1026" t="s">
        <v>100</v>
      </c>
      <c r="D1026" s="8">
        <v>158.05000000000001</v>
      </c>
    </row>
    <row r="1027" spans="1:4" x14ac:dyDescent="0.45">
      <c r="A1027" s="7">
        <v>45724</v>
      </c>
      <c r="B1027" t="s">
        <v>93</v>
      </c>
      <c r="C1027" t="s">
        <v>106</v>
      </c>
      <c r="D1027" s="8">
        <v>-20.89</v>
      </c>
    </row>
    <row r="1028" spans="1:4" x14ac:dyDescent="0.45">
      <c r="A1028" s="7">
        <v>45696</v>
      </c>
      <c r="B1028" t="s">
        <v>97</v>
      </c>
      <c r="C1028" t="s">
        <v>107</v>
      </c>
      <c r="D1028" s="8">
        <v>306.45999999999998</v>
      </c>
    </row>
    <row r="1029" spans="1:4" x14ac:dyDescent="0.45">
      <c r="A1029" s="7">
        <v>45906</v>
      </c>
      <c r="B1029" t="s">
        <v>93</v>
      </c>
      <c r="C1029" t="s">
        <v>106</v>
      </c>
      <c r="D1029" s="8">
        <v>399.31</v>
      </c>
    </row>
    <row r="1030" spans="1:4" x14ac:dyDescent="0.45">
      <c r="A1030" s="7">
        <v>46144</v>
      </c>
      <c r="B1030" t="s">
        <v>97</v>
      </c>
      <c r="C1030" t="s">
        <v>98</v>
      </c>
      <c r="D1030" s="8">
        <v>444.8</v>
      </c>
    </row>
    <row r="1031" spans="1:4" x14ac:dyDescent="0.45">
      <c r="A1031" s="7">
        <v>45312</v>
      </c>
      <c r="B1031" t="s">
        <v>93</v>
      </c>
      <c r="C1031" t="s">
        <v>103</v>
      </c>
      <c r="D1031" s="8">
        <v>293.52999999999997</v>
      </c>
    </row>
    <row r="1032" spans="1:4" x14ac:dyDescent="0.45">
      <c r="A1032" s="7">
        <v>45555</v>
      </c>
      <c r="B1032" t="s">
        <v>93</v>
      </c>
      <c r="C1032" t="s">
        <v>106</v>
      </c>
      <c r="D1032" s="8">
        <v>364.69</v>
      </c>
    </row>
    <row r="1033" spans="1:4" x14ac:dyDescent="0.45">
      <c r="A1033" s="7">
        <v>45731</v>
      </c>
      <c r="B1033" t="s">
        <v>95</v>
      </c>
      <c r="C1033" t="s">
        <v>108</v>
      </c>
      <c r="D1033" s="8">
        <v>354.01</v>
      </c>
    </row>
    <row r="1034" spans="1:4" x14ac:dyDescent="0.45">
      <c r="A1034" s="7">
        <v>45706</v>
      </c>
      <c r="B1034" t="s">
        <v>97</v>
      </c>
      <c r="C1034" t="s">
        <v>98</v>
      </c>
      <c r="D1034" s="8">
        <v>44.93</v>
      </c>
    </row>
    <row r="1035" spans="1:4" x14ac:dyDescent="0.45">
      <c r="A1035" s="7">
        <v>45555</v>
      </c>
      <c r="B1035" t="s">
        <v>93</v>
      </c>
      <c r="C1035" t="s">
        <v>100</v>
      </c>
      <c r="D1035" s="8">
        <v>221.37</v>
      </c>
    </row>
    <row r="1036" spans="1:4" x14ac:dyDescent="0.45">
      <c r="A1036" s="7">
        <v>45429</v>
      </c>
      <c r="B1036" t="s">
        <v>97</v>
      </c>
      <c r="C1036" t="s">
        <v>98</v>
      </c>
      <c r="D1036" s="8">
        <v>192.24</v>
      </c>
    </row>
    <row r="1037" spans="1:4" x14ac:dyDescent="0.45">
      <c r="A1037" s="7">
        <v>45929</v>
      </c>
      <c r="B1037" t="s">
        <v>93</v>
      </c>
      <c r="C1037" t="s">
        <v>106</v>
      </c>
      <c r="D1037" s="8">
        <v>-82.54</v>
      </c>
    </row>
    <row r="1038" spans="1:4" x14ac:dyDescent="0.45">
      <c r="A1038" s="7">
        <v>45700</v>
      </c>
      <c r="B1038" t="s">
        <v>97</v>
      </c>
      <c r="C1038" t="s">
        <v>101</v>
      </c>
      <c r="D1038" s="8">
        <v>157.59</v>
      </c>
    </row>
    <row r="1039" spans="1:4" x14ac:dyDescent="0.45">
      <c r="A1039" s="7">
        <v>45497</v>
      </c>
      <c r="B1039" t="s">
        <v>97</v>
      </c>
      <c r="C1039" t="s">
        <v>107</v>
      </c>
      <c r="D1039" s="8">
        <v>302.29000000000002</v>
      </c>
    </row>
    <row r="1040" spans="1:4" x14ac:dyDescent="0.45">
      <c r="A1040" s="7">
        <v>45512</v>
      </c>
      <c r="B1040" t="s">
        <v>93</v>
      </c>
      <c r="C1040" t="s">
        <v>103</v>
      </c>
      <c r="D1040" s="8">
        <v>397.91</v>
      </c>
    </row>
    <row r="1041" spans="1:4" x14ac:dyDescent="0.45">
      <c r="A1041" s="7">
        <v>46167</v>
      </c>
      <c r="B1041" t="s">
        <v>97</v>
      </c>
      <c r="C1041" t="s">
        <v>98</v>
      </c>
      <c r="D1041" s="8">
        <v>136.93</v>
      </c>
    </row>
    <row r="1042" spans="1:4" x14ac:dyDescent="0.45">
      <c r="A1042" s="7">
        <v>45537</v>
      </c>
      <c r="B1042" t="s">
        <v>95</v>
      </c>
      <c r="C1042" t="s">
        <v>102</v>
      </c>
      <c r="D1042" s="8">
        <v>497.55</v>
      </c>
    </row>
    <row r="1043" spans="1:4" x14ac:dyDescent="0.45">
      <c r="A1043" s="7">
        <v>45915</v>
      </c>
      <c r="B1043" t="s">
        <v>93</v>
      </c>
      <c r="C1043" t="s">
        <v>103</v>
      </c>
      <c r="D1043" s="8">
        <v>13.73</v>
      </c>
    </row>
    <row r="1044" spans="1:4" x14ac:dyDescent="0.45">
      <c r="A1044" s="7">
        <v>45990</v>
      </c>
      <c r="B1044" t="s">
        <v>97</v>
      </c>
      <c r="C1044" t="s">
        <v>101</v>
      </c>
      <c r="D1044" s="8">
        <v>149.69</v>
      </c>
    </row>
    <row r="1045" spans="1:4" x14ac:dyDescent="0.45">
      <c r="A1045" s="7">
        <v>45338</v>
      </c>
      <c r="B1045" t="s">
        <v>95</v>
      </c>
      <c r="C1045" t="s">
        <v>102</v>
      </c>
      <c r="D1045" s="8">
        <v>25.78</v>
      </c>
    </row>
    <row r="1046" spans="1:4" x14ac:dyDescent="0.45">
      <c r="A1046" s="7">
        <v>45738</v>
      </c>
      <c r="B1046" t="s">
        <v>97</v>
      </c>
      <c r="C1046" t="s">
        <v>107</v>
      </c>
      <c r="D1046" s="8">
        <v>170.22</v>
      </c>
    </row>
    <row r="1047" spans="1:4" x14ac:dyDescent="0.45">
      <c r="A1047" s="7">
        <v>45808</v>
      </c>
      <c r="B1047" t="s">
        <v>97</v>
      </c>
      <c r="C1047" t="s">
        <v>101</v>
      </c>
      <c r="D1047" s="8">
        <v>-57.12</v>
      </c>
    </row>
    <row r="1048" spans="1:4" x14ac:dyDescent="0.45">
      <c r="A1048" s="7">
        <v>45707</v>
      </c>
      <c r="B1048" t="s">
        <v>97</v>
      </c>
      <c r="C1048" t="s">
        <v>104</v>
      </c>
      <c r="D1048" s="8">
        <v>-117.53</v>
      </c>
    </row>
    <row r="1049" spans="1:4" x14ac:dyDescent="0.45">
      <c r="A1049" s="7">
        <v>45859</v>
      </c>
      <c r="B1049" t="s">
        <v>93</v>
      </c>
      <c r="C1049" t="s">
        <v>106</v>
      </c>
      <c r="D1049" s="8">
        <v>455.59</v>
      </c>
    </row>
    <row r="1050" spans="1:4" x14ac:dyDescent="0.45">
      <c r="A1050" s="7">
        <v>45648</v>
      </c>
      <c r="B1050" t="s">
        <v>93</v>
      </c>
      <c r="C1050" t="s">
        <v>100</v>
      </c>
      <c r="D1050" s="8">
        <v>320.92</v>
      </c>
    </row>
    <row r="1051" spans="1:4" x14ac:dyDescent="0.45">
      <c r="A1051" s="7">
        <v>46151</v>
      </c>
      <c r="B1051" t="s">
        <v>93</v>
      </c>
      <c r="C1051" t="s">
        <v>103</v>
      </c>
      <c r="D1051" s="8">
        <v>40.340000000000003</v>
      </c>
    </row>
    <row r="1052" spans="1:4" x14ac:dyDescent="0.45">
      <c r="A1052" s="7">
        <v>46004</v>
      </c>
      <c r="B1052" t="s">
        <v>93</v>
      </c>
      <c r="C1052" t="s">
        <v>94</v>
      </c>
      <c r="D1052" s="8">
        <v>308.49</v>
      </c>
    </row>
    <row r="1053" spans="1:4" x14ac:dyDescent="0.45">
      <c r="A1053" s="7">
        <v>45330</v>
      </c>
      <c r="B1053" t="s">
        <v>95</v>
      </c>
      <c r="C1053" t="s">
        <v>105</v>
      </c>
      <c r="D1053" s="8">
        <v>467.2</v>
      </c>
    </row>
    <row r="1054" spans="1:4" x14ac:dyDescent="0.45">
      <c r="A1054" s="7">
        <v>45401</v>
      </c>
      <c r="B1054" t="s">
        <v>93</v>
      </c>
      <c r="C1054" t="s">
        <v>94</v>
      </c>
      <c r="D1054" s="8">
        <v>472.42</v>
      </c>
    </row>
    <row r="1055" spans="1:4" x14ac:dyDescent="0.45">
      <c r="A1055" s="7">
        <v>45326</v>
      </c>
      <c r="B1055" t="s">
        <v>93</v>
      </c>
      <c r="C1055" t="s">
        <v>103</v>
      </c>
      <c r="D1055" s="8">
        <v>-73.34</v>
      </c>
    </row>
    <row r="1056" spans="1:4" x14ac:dyDescent="0.45">
      <c r="A1056" s="7">
        <v>45491</v>
      </c>
      <c r="B1056" t="s">
        <v>93</v>
      </c>
      <c r="C1056" t="s">
        <v>103</v>
      </c>
      <c r="D1056" s="8">
        <v>-108.28</v>
      </c>
    </row>
    <row r="1057" spans="1:4" x14ac:dyDescent="0.45">
      <c r="A1057" s="7">
        <v>45448</v>
      </c>
      <c r="B1057" t="s">
        <v>93</v>
      </c>
      <c r="C1057" t="s">
        <v>106</v>
      </c>
      <c r="D1057" s="8">
        <v>62.43</v>
      </c>
    </row>
    <row r="1058" spans="1:4" x14ac:dyDescent="0.45">
      <c r="A1058" s="7">
        <v>45600</v>
      </c>
      <c r="B1058" t="s">
        <v>95</v>
      </c>
      <c r="C1058" t="s">
        <v>108</v>
      </c>
      <c r="D1058" s="8">
        <v>123.35</v>
      </c>
    </row>
    <row r="1059" spans="1:4" x14ac:dyDescent="0.45">
      <c r="A1059" s="7">
        <v>45381</v>
      </c>
      <c r="B1059" t="s">
        <v>95</v>
      </c>
      <c r="C1059" t="s">
        <v>102</v>
      </c>
      <c r="D1059" s="8">
        <v>-113.58</v>
      </c>
    </row>
    <row r="1060" spans="1:4" x14ac:dyDescent="0.45">
      <c r="A1060" s="7">
        <v>45825</v>
      </c>
      <c r="B1060" t="s">
        <v>93</v>
      </c>
      <c r="C1060" t="s">
        <v>106</v>
      </c>
      <c r="D1060" s="8">
        <v>231.7</v>
      </c>
    </row>
    <row r="1061" spans="1:4" x14ac:dyDescent="0.45">
      <c r="A1061" s="7">
        <v>45825</v>
      </c>
      <c r="B1061" t="s">
        <v>97</v>
      </c>
      <c r="C1061" t="s">
        <v>107</v>
      </c>
      <c r="D1061" s="8">
        <v>259.06</v>
      </c>
    </row>
    <row r="1062" spans="1:4" x14ac:dyDescent="0.45">
      <c r="A1062" s="7">
        <v>45888</v>
      </c>
      <c r="B1062" t="s">
        <v>93</v>
      </c>
      <c r="C1062" t="s">
        <v>94</v>
      </c>
      <c r="D1062" s="8">
        <v>201.71</v>
      </c>
    </row>
    <row r="1063" spans="1:4" x14ac:dyDescent="0.45">
      <c r="A1063" s="7">
        <v>45774</v>
      </c>
      <c r="B1063" t="s">
        <v>95</v>
      </c>
      <c r="C1063" t="s">
        <v>99</v>
      </c>
      <c r="D1063" s="8">
        <v>366.74</v>
      </c>
    </row>
    <row r="1064" spans="1:4" x14ac:dyDescent="0.45">
      <c r="A1064" s="7">
        <v>46192</v>
      </c>
      <c r="B1064" t="s">
        <v>95</v>
      </c>
      <c r="C1064" t="s">
        <v>96</v>
      </c>
      <c r="D1064" s="8">
        <v>-43.93</v>
      </c>
    </row>
    <row r="1065" spans="1:4" x14ac:dyDescent="0.45">
      <c r="A1065" s="7">
        <v>45532</v>
      </c>
      <c r="B1065" t="s">
        <v>93</v>
      </c>
      <c r="C1065" t="s">
        <v>94</v>
      </c>
      <c r="D1065" s="8">
        <v>155.11000000000001</v>
      </c>
    </row>
    <row r="1066" spans="1:4" x14ac:dyDescent="0.45">
      <c r="A1066" s="7">
        <v>45421</v>
      </c>
      <c r="B1066" t="s">
        <v>93</v>
      </c>
      <c r="C1066" t="s">
        <v>100</v>
      </c>
      <c r="D1066" s="8">
        <v>-126.43</v>
      </c>
    </row>
    <row r="1067" spans="1:4" x14ac:dyDescent="0.45">
      <c r="A1067" s="7">
        <v>45573</v>
      </c>
      <c r="B1067" t="s">
        <v>97</v>
      </c>
      <c r="C1067" t="s">
        <v>107</v>
      </c>
      <c r="D1067" s="8">
        <v>69.25</v>
      </c>
    </row>
    <row r="1068" spans="1:4" x14ac:dyDescent="0.45">
      <c r="A1068" s="7">
        <v>45589</v>
      </c>
      <c r="B1068" t="s">
        <v>93</v>
      </c>
      <c r="C1068" t="s">
        <v>100</v>
      </c>
      <c r="D1068" s="8">
        <v>226.96</v>
      </c>
    </row>
    <row r="1069" spans="1:4" x14ac:dyDescent="0.45">
      <c r="A1069" s="7">
        <v>46047</v>
      </c>
      <c r="B1069" t="s">
        <v>95</v>
      </c>
      <c r="C1069" t="s">
        <v>102</v>
      </c>
      <c r="D1069" s="8">
        <v>230.41</v>
      </c>
    </row>
    <row r="1070" spans="1:4" x14ac:dyDescent="0.45">
      <c r="A1070" s="7">
        <v>45857</v>
      </c>
      <c r="B1070" t="s">
        <v>97</v>
      </c>
      <c r="C1070" t="s">
        <v>104</v>
      </c>
      <c r="D1070" s="8">
        <v>-49.24</v>
      </c>
    </row>
    <row r="1071" spans="1:4" x14ac:dyDescent="0.45">
      <c r="A1071" s="7">
        <v>45524</v>
      </c>
      <c r="B1071" t="s">
        <v>97</v>
      </c>
      <c r="C1071" t="s">
        <v>107</v>
      </c>
      <c r="D1071" s="8">
        <v>426.2</v>
      </c>
    </row>
    <row r="1072" spans="1:4" x14ac:dyDescent="0.45">
      <c r="A1072" s="7">
        <v>46073</v>
      </c>
      <c r="B1072" t="s">
        <v>93</v>
      </c>
      <c r="C1072" t="s">
        <v>94</v>
      </c>
      <c r="D1072" s="8">
        <v>161.29</v>
      </c>
    </row>
    <row r="1073" spans="1:4" x14ac:dyDescent="0.45">
      <c r="A1073" s="7">
        <v>46150</v>
      </c>
      <c r="B1073" t="s">
        <v>93</v>
      </c>
      <c r="C1073" t="s">
        <v>103</v>
      </c>
      <c r="D1073" s="8">
        <v>203.91</v>
      </c>
    </row>
    <row r="1074" spans="1:4" x14ac:dyDescent="0.45">
      <c r="A1074" s="7">
        <v>45698</v>
      </c>
      <c r="B1074" t="s">
        <v>93</v>
      </c>
      <c r="C1074" t="s">
        <v>103</v>
      </c>
      <c r="D1074" s="8">
        <v>312.61</v>
      </c>
    </row>
    <row r="1075" spans="1:4" x14ac:dyDescent="0.45">
      <c r="A1075" s="7">
        <v>45418</v>
      </c>
      <c r="B1075" t="s">
        <v>95</v>
      </c>
      <c r="C1075" t="s">
        <v>105</v>
      </c>
      <c r="D1075" s="8">
        <v>499.33</v>
      </c>
    </row>
    <row r="1076" spans="1:4" x14ac:dyDescent="0.45">
      <c r="A1076" s="7">
        <v>45611</v>
      </c>
      <c r="B1076" t="s">
        <v>93</v>
      </c>
      <c r="C1076" t="s">
        <v>94</v>
      </c>
      <c r="D1076" s="8">
        <v>125.49</v>
      </c>
    </row>
    <row r="1077" spans="1:4" x14ac:dyDescent="0.45">
      <c r="A1077" s="7">
        <v>46077</v>
      </c>
      <c r="B1077" t="s">
        <v>97</v>
      </c>
      <c r="C1077" t="s">
        <v>107</v>
      </c>
      <c r="D1077" s="8">
        <v>122.38</v>
      </c>
    </row>
    <row r="1078" spans="1:4" x14ac:dyDescent="0.45">
      <c r="A1078" s="7">
        <v>45490</v>
      </c>
      <c r="B1078" t="s">
        <v>93</v>
      </c>
      <c r="C1078" t="s">
        <v>103</v>
      </c>
      <c r="D1078" s="8">
        <v>-71.400000000000006</v>
      </c>
    </row>
    <row r="1079" spans="1:4" x14ac:dyDescent="0.45">
      <c r="A1079" s="7">
        <v>46187</v>
      </c>
      <c r="B1079" t="s">
        <v>93</v>
      </c>
      <c r="C1079" t="s">
        <v>106</v>
      </c>
      <c r="D1079" s="8">
        <v>280.85000000000002</v>
      </c>
    </row>
    <row r="1080" spans="1:4" x14ac:dyDescent="0.45">
      <c r="A1080" s="7">
        <v>45708</v>
      </c>
      <c r="B1080" t="s">
        <v>93</v>
      </c>
      <c r="C1080" t="s">
        <v>94</v>
      </c>
      <c r="D1080" s="8">
        <v>-134.69</v>
      </c>
    </row>
    <row r="1081" spans="1:4" x14ac:dyDescent="0.45">
      <c r="A1081" s="7">
        <v>45529</v>
      </c>
      <c r="B1081" t="s">
        <v>97</v>
      </c>
      <c r="C1081" t="s">
        <v>107</v>
      </c>
      <c r="D1081" s="8">
        <v>-57.08</v>
      </c>
    </row>
    <row r="1082" spans="1:4" x14ac:dyDescent="0.45">
      <c r="A1082" s="7">
        <v>45946</v>
      </c>
      <c r="B1082" t="s">
        <v>95</v>
      </c>
      <c r="C1082" t="s">
        <v>108</v>
      </c>
      <c r="D1082" s="8">
        <v>392.56</v>
      </c>
    </row>
    <row r="1083" spans="1:4" x14ac:dyDescent="0.45">
      <c r="A1083" s="7">
        <v>45353</v>
      </c>
      <c r="B1083" t="s">
        <v>93</v>
      </c>
      <c r="C1083" t="s">
        <v>106</v>
      </c>
      <c r="D1083" s="8">
        <v>61.74</v>
      </c>
    </row>
    <row r="1084" spans="1:4" x14ac:dyDescent="0.45">
      <c r="A1084" s="7">
        <v>45386</v>
      </c>
      <c r="B1084" t="s">
        <v>97</v>
      </c>
      <c r="C1084" t="s">
        <v>104</v>
      </c>
      <c r="D1084" s="8">
        <v>457.68</v>
      </c>
    </row>
    <row r="1085" spans="1:4" x14ac:dyDescent="0.45">
      <c r="A1085" s="7">
        <v>45457</v>
      </c>
      <c r="B1085" t="s">
        <v>97</v>
      </c>
      <c r="C1085" t="s">
        <v>98</v>
      </c>
      <c r="D1085" s="8">
        <v>-18.190000000000001</v>
      </c>
    </row>
    <row r="1086" spans="1:4" x14ac:dyDescent="0.45">
      <c r="A1086" s="7">
        <v>45875</v>
      </c>
      <c r="B1086" t="s">
        <v>93</v>
      </c>
      <c r="C1086" t="s">
        <v>94</v>
      </c>
      <c r="D1086" s="8">
        <v>18.47</v>
      </c>
    </row>
    <row r="1087" spans="1:4" x14ac:dyDescent="0.45">
      <c r="A1087" s="7">
        <v>46135</v>
      </c>
      <c r="B1087" t="s">
        <v>95</v>
      </c>
      <c r="C1087" t="s">
        <v>105</v>
      </c>
      <c r="D1087" s="8">
        <v>393.87</v>
      </c>
    </row>
    <row r="1088" spans="1:4" x14ac:dyDescent="0.45">
      <c r="A1088" s="7">
        <v>45545</v>
      </c>
      <c r="B1088" t="s">
        <v>93</v>
      </c>
      <c r="C1088" t="s">
        <v>100</v>
      </c>
      <c r="D1088" s="8">
        <v>38.65</v>
      </c>
    </row>
    <row r="1089" spans="1:4" x14ac:dyDescent="0.45">
      <c r="A1089" s="7">
        <v>45337</v>
      </c>
      <c r="B1089" t="s">
        <v>97</v>
      </c>
      <c r="C1089" t="s">
        <v>98</v>
      </c>
      <c r="D1089" s="8">
        <v>377.31</v>
      </c>
    </row>
    <row r="1090" spans="1:4" x14ac:dyDescent="0.45">
      <c r="A1090" s="7">
        <v>45739</v>
      </c>
      <c r="B1090" t="s">
        <v>93</v>
      </c>
      <c r="C1090" t="s">
        <v>106</v>
      </c>
      <c r="D1090" s="8">
        <v>497.1</v>
      </c>
    </row>
    <row r="1091" spans="1:4" x14ac:dyDescent="0.45">
      <c r="A1091" s="7">
        <v>45354</v>
      </c>
      <c r="B1091" t="s">
        <v>97</v>
      </c>
      <c r="C1091" t="s">
        <v>104</v>
      </c>
      <c r="D1091" s="8">
        <v>-46.07</v>
      </c>
    </row>
    <row r="1092" spans="1:4" x14ac:dyDescent="0.45">
      <c r="A1092" s="7">
        <v>46043</v>
      </c>
      <c r="B1092" t="s">
        <v>95</v>
      </c>
      <c r="C1092" t="s">
        <v>109</v>
      </c>
      <c r="D1092" s="8">
        <v>36.58</v>
      </c>
    </row>
    <row r="1093" spans="1:4" x14ac:dyDescent="0.45">
      <c r="A1093" s="7">
        <v>45371</v>
      </c>
      <c r="B1093" t="s">
        <v>95</v>
      </c>
      <c r="C1093" t="s">
        <v>99</v>
      </c>
      <c r="D1093" s="8">
        <v>-100.55</v>
      </c>
    </row>
    <row r="1094" spans="1:4" x14ac:dyDescent="0.45">
      <c r="A1094" s="7">
        <v>45658</v>
      </c>
      <c r="B1094" t="s">
        <v>97</v>
      </c>
      <c r="C1094" t="s">
        <v>98</v>
      </c>
      <c r="D1094" s="8">
        <v>-87.99</v>
      </c>
    </row>
    <row r="1095" spans="1:4" x14ac:dyDescent="0.45">
      <c r="A1095" s="7">
        <v>45971</v>
      </c>
      <c r="B1095" t="s">
        <v>95</v>
      </c>
      <c r="C1095" t="s">
        <v>105</v>
      </c>
      <c r="D1095" s="8">
        <v>-134.41999999999999</v>
      </c>
    </row>
    <row r="1096" spans="1:4" x14ac:dyDescent="0.45">
      <c r="A1096" s="7">
        <v>45617</v>
      </c>
      <c r="B1096" t="s">
        <v>93</v>
      </c>
      <c r="C1096" t="s">
        <v>103</v>
      </c>
      <c r="D1096" s="8">
        <v>-34.25</v>
      </c>
    </row>
    <row r="1097" spans="1:4" x14ac:dyDescent="0.45">
      <c r="A1097" s="7">
        <v>45690</v>
      </c>
      <c r="B1097" t="s">
        <v>97</v>
      </c>
      <c r="C1097" t="s">
        <v>101</v>
      </c>
      <c r="D1097" s="8">
        <v>244.1</v>
      </c>
    </row>
    <row r="1098" spans="1:4" x14ac:dyDescent="0.45">
      <c r="A1098" s="7">
        <v>45379</v>
      </c>
      <c r="B1098" t="s">
        <v>97</v>
      </c>
      <c r="C1098" t="s">
        <v>101</v>
      </c>
      <c r="D1098" s="8">
        <v>319.13</v>
      </c>
    </row>
    <row r="1099" spans="1:4" x14ac:dyDescent="0.45">
      <c r="A1099" s="7">
        <v>45992</v>
      </c>
      <c r="B1099" t="s">
        <v>95</v>
      </c>
      <c r="C1099" t="s">
        <v>109</v>
      </c>
      <c r="D1099" s="8">
        <v>154.76</v>
      </c>
    </row>
    <row r="1100" spans="1:4" x14ac:dyDescent="0.45">
      <c r="A1100" s="7">
        <v>45415</v>
      </c>
      <c r="B1100" t="s">
        <v>95</v>
      </c>
      <c r="C1100" t="s">
        <v>96</v>
      </c>
      <c r="D1100" s="8">
        <v>8.2100000000000009</v>
      </c>
    </row>
    <row r="1101" spans="1:4" x14ac:dyDescent="0.45">
      <c r="A1101" s="7">
        <v>45620</v>
      </c>
      <c r="B1101" t="s">
        <v>95</v>
      </c>
      <c r="C1101" t="s">
        <v>102</v>
      </c>
      <c r="D1101" s="8">
        <v>36.24</v>
      </c>
    </row>
    <row r="1102" spans="1:4" x14ac:dyDescent="0.45">
      <c r="A1102" s="7">
        <v>45988</v>
      </c>
      <c r="B1102" t="s">
        <v>95</v>
      </c>
      <c r="C1102" t="s">
        <v>102</v>
      </c>
      <c r="D1102" s="8">
        <v>-102.49</v>
      </c>
    </row>
    <row r="1103" spans="1:4" x14ac:dyDescent="0.45">
      <c r="A1103" s="7">
        <v>45931</v>
      </c>
      <c r="B1103" t="s">
        <v>97</v>
      </c>
      <c r="C1103" t="s">
        <v>98</v>
      </c>
      <c r="D1103" s="8">
        <v>427.84</v>
      </c>
    </row>
    <row r="1104" spans="1:4" x14ac:dyDescent="0.45">
      <c r="A1104" s="7">
        <v>45452</v>
      </c>
      <c r="B1104" t="s">
        <v>97</v>
      </c>
      <c r="C1104" t="s">
        <v>104</v>
      </c>
      <c r="D1104" s="8">
        <v>138.69</v>
      </c>
    </row>
    <row r="1105" spans="1:4" x14ac:dyDescent="0.45">
      <c r="A1105" s="7">
        <v>45488</v>
      </c>
      <c r="B1105" t="s">
        <v>95</v>
      </c>
      <c r="C1105" t="s">
        <v>99</v>
      </c>
      <c r="D1105" s="8">
        <v>-58.63</v>
      </c>
    </row>
    <row r="1106" spans="1:4" x14ac:dyDescent="0.45">
      <c r="A1106" s="7">
        <v>46103</v>
      </c>
      <c r="B1106" t="s">
        <v>95</v>
      </c>
      <c r="C1106" t="s">
        <v>102</v>
      </c>
      <c r="D1106" s="8">
        <v>289.45</v>
      </c>
    </row>
    <row r="1107" spans="1:4" x14ac:dyDescent="0.45">
      <c r="A1107" s="7">
        <v>45599</v>
      </c>
      <c r="B1107" t="s">
        <v>95</v>
      </c>
      <c r="C1107" t="s">
        <v>109</v>
      </c>
      <c r="D1107" s="8">
        <v>292.23</v>
      </c>
    </row>
    <row r="1108" spans="1:4" x14ac:dyDescent="0.45">
      <c r="A1108" s="7">
        <v>46060</v>
      </c>
      <c r="B1108" t="s">
        <v>95</v>
      </c>
      <c r="C1108" t="s">
        <v>99</v>
      </c>
      <c r="D1108" s="8">
        <v>-86.15</v>
      </c>
    </row>
    <row r="1109" spans="1:4" x14ac:dyDescent="0.45">
      <c r="A1109" s="7">
        <v>45293</v>
      </c>
      <c r="B1109" t="s">
        <v>95</v>
      </c>
      <c r="C1109" t="s">
        <v>108</v>
      </c>
      <c r="D1109" s="8">
        <v>-9.49</v>
      </c>
    </row>
    <row r="1110" spans="1:4" x14ac:dyDescent="0.45">
      <c r="A1110" s="7">
        <v>45791</v>
      </c>
      <c r="B1110" t="s">
        <v>93</v>
      </c>
      <c r="C1110" t="s">
        <v>94</v>
      </c>
      <c r="D1110" s="8">
        <v>41.16</v>
      </c>
    </row>
    <row r="1111" spans="1:4" x14ac:dyDescent="0.45">
      <c r="A1111" s="7">
        <v>46092</v>
      </c>
      <c r="B1111" t="s">
        <v>97</v>
      </c>
      <c r="C1111" t="s">
        <v>101</v>
      </c>
      <c r="D1111" s="8">
        <v>433.01</v>
      </c>
    </row>
    <row r="1112" spans="1:4" x14ac:dyDescent="0.45">
      <c r="A1112" s="7">
        <v>46032</v>
      </c>
      <c r="B1112" t="s">
        <v>97</v>
      </c>
      <c r="C1112" t="s">
        <v>101</v>
      </c>
      <c r="D1112" s="8">
        <v>105.1</v>
      </c>
    </row>
    <row r="1113" spans="1:4" x14ac:dyDescent="0.45">
      <c r="A1113" s="7">
        <v>45499</v>
      </c>
      <c r="B1113" t="s">
        <v>93</v>
      </c>
      <c r="C1113" t="s">
        <v>100</v>
      </c>
      <c r="D1113" s="8">
        <v>400.37</v>
      </c>
    </row>
    <row r="1114" spans="1:4" x14ac:dyDescent="0.45">
      <c r="A1114" s="7">
        <v>45742</v>
      </c>
      <c r="B1114" t="s">
        <v>95</v>
      </c>
      <c r="C1114" t="s">
        <v>108</v>
      </c>
      <c r="D1114" s="8">
        <v>-40.92</v>
      </c>
    </row>
    <row r="1115" spans="1:4" x14ac:dyDescent="0.45">
      <c r="A1115" s="7">
        <v>46167</v>
      </c>
      <c r="B1115" t="s">
        <v>95</v>
      </c>
      <c r="C1115" t="s">
        <v>105</v>
      </c>
      <c r="D1115" s="8">
        <v>395.7</v>
      </c>
    </row>
    <row r="1116" spans="1:4" x14ac:dyDescent="0.45">
      <c r="A1116" s="7">
        <v>46064</v>
      </c>
      <c r="B1116" t="s">
        <v>97</v>
      </c>
      <c r="C1116" t="s">
        <v>98</v>
      </c>
      <c r="D1116" s="8">
        <v>255.79</v>
      </c>
    </row>
    <row r="1117" spans="1:4" x14ac:dyDescent="0.45">
      <c r="A1117" s="7">
        <v>45411</v>
      </c>
      <c r="B1117" t="s">
        <v>95</v>
      </c>
      <c r="C1117" t="s">
        <v>108</v>
      </c>
      <c r="D1117" s="8">
        <v>1.3</v>
      </c>
    </row>
    <row r="1118" spans="1:4" x14ac:dyDescent="0.45">
      <c r="A1118" s="7">
        <v>45804</v>
      </c>
      <c r="B1118" t="s">
        <v>95</v>
      </c>
      <c r="C1118" t="s">
        <v>102</v>
      </c>
      <c r="D1118" s="8">
        <v>155.51</v>
      </c>
    </row>
    <row r="1119" spans="1:4" x14ac:dyDescent="0.45">
      <c r="A1119" s="7">
        <v>46057</v>
      </c>
      <c r="B1119" t="s">
        <v>93</v>
      </c>
      <c r="C1119" t="s">
        <v>94</v>
      </c>
      <c r="D1119" s="8">
        <v>95.68</v>
      </c>
    </row>
    <row r="1120" spans="1:4" x14ac:dyDescent="0.45">
      <c r="A1120" s="7">
        <v>45628</v>
      </c>
      <c r="B1120" t="s">
        <v>97</v>
      </c>
      <c r="C1120" t="s">
        <v>107</v>
      </c>
      <c r="D1120" s="8">
        <v>-49.63</v>
      </c>
    </row>
    <row r="1121" spans="1:4" x14ac:dyDescent="0.45">
      <c r="A1121" s="7">
        <v>46019</v>
      </c>
      <c r="B1121" t="s">
        <v>95</v>
      </c>
      <c r="C1121" t="s">
        <v>99</v>
      </c>
      <c r="D1121" s="8">
        <v>-81.12</v>
      </c>
    </row>
    <row r="1122" spans="1:4" x14ac:dyDescent="0.45">
      <c r="A1122" s="7">
        <v>45760</v>
      </c>
      <c r="B1122" t="s">
        <v>95</v>
      </c>
      <c r="C1122" t="s">
        <v>108</v>
      </c>
      <c r="D1122" s="8">
        <v>373.78</v>
      </c>
    </row>
    <row r="1123" spans="1:4" x14ac:dyDescent="0.45">
      <c r="A1123" s="7">
        <v>45745</v>
      </c>
      <c r="B1123" t="s">
        <v>93</v>
      </c>
      <c r="C1123" t="s">
        <v>106</v>
      </c>
      <c r="D1123" s="8">
        <v>-102.52</v>
      </c>
    </row>
    <row r="1124" spans="1:4" x14ac:dyDescent="0.45">
      <c r="A1124" s="7">
        <v>45326</v>
      </c>
      <c r="B1124" t="s">
        <v>93</v>
      </c>
      <c r="C1124" t="s">
        <v>103</v>
      </c>
      <c r="D1124" s="8">
        <v>82.71</v>
      </c>
    </row>
    <row r="1125" spans="1:4" x14ac:dyDescent="0.45">
      <c r="A1125" s="7">
        <v>45867</v>
      </c>
      <c r="B1125" t="s">
        <v>95</v>
      </c>
      <c r="C1125" t="s">
        <v>109</v>
      </c>
      <c r="D1125" s="8">
        <v>458.29</v>
      </c>
    </row>
    <row r="1126" spans="1:4" x14ac:dyDescent="0.45">
      <c r="A1126" s="7">
        <v>45901</v>
      </c>
      <c r="B1126" t="s">
        <v>95</v>
      </c>
      <c r="C1126" t="s">
        <v>99</v>
      </c>
      <c r="D1126" s="8">
        <v>318.49</v>
      </c>
    </row>
    <row r="1127" spans="1:4" x14ac:dyDescent="0.45">
      <c r="A1127" s="7">
        <v>45565</v>
      </c>
      <c r="B1127" t="s">
        <v>95</v>
      </c>
      <c r="C1127" t="s">
        <v>108</v>
      </c>
      <c r="D1127" s="8">
        <v>418.76</v>
      </c>
    </row>
    <row r="1128" spans="1:4" x14ac:dyDescent="0.45">
      <c r="A1128" s="7">
        <v>45694</v>
      </c>
      <c r="B1128" t="s">
        <v>95</v>
      </c>
      <c r="C1128" t="s">
        <v>96</v>
      </c>
      <c r="D1128" s="8">
        <v>439.18</v>
      </c>
    </row>
    <row r="1129" spans="1:4" x14ac:dyDescent="0.45">
      <c r="A1129" s="7">
        <v>45699</v>
      </c>
      <c r="B1129" t="s">
        <v>93</v>
      </c>
      <c r="C1129" t="s">
        <v>103</v>
      </c>
      <c r="D1129" s="8">
        <v>-19.059999999999999</v>
      </c>
    </row>
    <row r="1130" spans="1:4" x14ac:dyDescent="0.45">
      <c r="A1130" s="7">
        <v>45321</v>
      </c>
      <c r="B1130" t="s">
        <v>95</v>
      </c>
      <c r="C1130" t="s">
        <v>109</v>
      </c>
      <c r="D1130" s="8">
        <v>323.5</v>
      </c>
    </row>
    <row r="1131" spans="1:4" x14ac:dyDescent="0.45">
      <c r="A1131" s="7">
        <v>45448</v>
      </c>
      <c r="B1131" t="s">
        <v>95</v>
      </c>
      <c r="C1131" t="s">
        <v>108</v>
      </c>
      <c r="D1131" s="8">
        <v>-49.75</v>
      </c>
    </row>
    <row r="1132" spans="1:4" x14ac:dyDescent="0.45">
      <c r="A1132" s="7">
        <v>45909</v>
      </c>
      <c r="B1132" t="s">
        <v>95</v>
      </c>
      <c r="C1132" t="s">
        <v>108</v>
      </c>
      <c r="D1132" s="8">
        <v>40.47</v>
      </c>
    </row>
    <row r="1133" spans="1:4" x14ac:dyDescent="0.45">
      <c r="A1133" s="7">
        <v>45551</v>
      </c>
      <c r="B1133" t="s">
        <v>93</v>
      </c>
      <c r="C1133" t="s">
        <v>94</v>
      </c>
      <c r="D1133" s="8">
        <v>285.42</v>
      </c>
    </row>
    <row r="1134" spans="1:4" x14ac:dyDescent="0.45">
      <c r="A1134" s="7">
        <v>45955</v>
      </c>
      <c r="B1134" t="s">
        <v>93</v>
      </c>
      <c r="C1134" t="s">
        <v>94</v>
      </c>
      <c r="D1134" s="8">
        <v>163.91</v>
      </c>
    </row>
    <row r="1135" spans="1:4" x14ac:dyDescent="0.45">
      <c r="A1135" s="7">
        <v>45608</v>
      </c>
      <c r="B1135" t="s">
        <v>95</v>
      </c>
      <c r="C1135" t="s">
        <v>96</v>
      </c>
      <c r="D1135" s="8">
        <v>-146.19999999999999</v>
      </c>
    </row>
    <row r="1136" spans="1:4" x14ac:dyDescent="0.45">
      <c r="A1136" s="7">
        <v>46173</v>
      </c>
      <c r="B1136" t="s">
        <v>97</v>
      </c>
      <c r="C1136" t="s">
        <v>101</v>
      </c>
      <c r="D1136" s="8">
        <v>-122.56</v>
      </c>
    </row>
    <row r="1137" spans="1:4" x14ac:dyDescent="0.45">
      <c r="A1137" s="7">
        <v>45455</v>
      </c>
      <c r="B1137" t="s">
        <v>93</v>
      </c>
      <c r="C1137" t="s">
        <v>94</v>
      </c>
      <c r="D1137" s="8">
        <v>-93.15</v>
      </c>
    </row>
    <row r="1138" spans="1:4" x14ac:dyDescent="0.45">
      <c r="A1138" s="7">
        <v>45792</v>
      </c>
      <c r="B1138" t="s">
        <v>95</v>
      </c>
      <c r="C1138" t="s">
        <v>99</v>
      </c>
      <c r="D1138" s="8">
        <v>179.68</v>
      </c>
    </row>
    <row r="1139" spans="1:4" x14ac:dyDescent="0.45">
      <c r="A1139" s="7">
        <v>45765</v>
      </c>
      <c r="B1139" t="s">
        <v>93</v>
      </c>
      <c r="C1139" t="s">
        <v>100</v>
      </c>
      <c r="D1139" s="8">
        <v>494.76</v>
      </c>
    </row>
    <row r="1140" spans="1:4" x14ac:dyDescent="0.45">
      <c r="A1140" s="7">
        <v>45617</v>
      </c>
      <c r="B1140" t="s">
        <v>97</v>
      </c>
      <c r="C1140" t="s">
        <v>101</v>
      </c>
      <c r="D1140" s="8">
        <v>240.44</v>
      </c>
    </row>
    <row r="1141" spans="1:4" x14ac:dyDescent="0.45">
      <c r="A1141" s="7">
        <v>45825</v>
      </c>
      <c r="B1141" t="s">
        <v>95</v>
      </c>
      <c r="C1141" t="s">
        <v>105</v>
      </c>
      <c r="D1141" s="8">
        <v>134.62</v>
      </c>
    </row>
    <row r="1142" spans="1:4" x14ac:dyDescent="0.45">
      <c r="A1142" s="7">
        <v>45834</v>
      </c>
      <c r="B1142" t="s">
        <v>93</v>
      </c>
      <c r="C1142" t="s">
        <v>94</v>
      </c>
      <c r="D1142" s="8">
        <v>-56.5</v>
      </c>
    </row>
    <row r="1143" spans="1:4" x14ac:dyDescent="0.45">
      <c r="A1143" s="7">
        <v>46167</v>
      </c>
      <c r="B1143" t="s">
        <v>93</v>
      </c>
      <c r="C1143" t="s">
        <v>94</v>
      </c>
      <c r="D1143" s="8">
        <v>371.12</v>
      </c>
    </row>
    <row r="1144" spans="1:4" x14ac:dyDescent="0.45">
      <c r="A1144" s="7">
        <v>45515</v>
      </c>
      <c r="B1144" t="s">
        <v>95</v>
      </c>
      <c r="C1144" t="s">
        <v>108</v>
      </c>
      <c r="D1144" s="8">
        <v>443.57</v>
      </c>
    </row>
    <row r="1145" spans="1:4" x14ac:dyDescent="0.45">
      <c r="A1145" s="7">
        <v>46120</v>
      </c>
      <c r="B1145" t="s">
        <v>95</v>
      </c>
      <c r="C1145" t="s">
        <v>99</v>
      </c>
      <c r="D1145" s="8">
        <v>23.89</v>
      </c>
    </row>
    <row r="1146" spans="1:4" x14ac:dyDescent="0.45">
      <c r="A1146" s="7">
        <v>45476</v>
      </c>
      <c r="B1146" t="s">
        <v>95</v>
      </c>
      <c r="C1146" t="s">
        <v>108</v>
      </c>
      <c r="D1146" s="8">
        <v>70.28</v>
      </c>
    </row>
    <row r="1147" spans="1:4" x14ac:dyDescent="0.45">
      <c r="A1147" s="7">
        <v>45722</v>
      </c>
      <c r="B1147" t="s">
        <v>97</v>
      </c>
      <c r="C1147" t="s">
        <v>98</v>
      </c>
      <c r="D1147" s="8">
        <v>381.29</v>
      </c>
    </row>
    <row r="1148" spans="1:4" x14ac:dyDescent="0.45">
      <c r="A1148" s="7">
        <v>45844</v>
      </c>
      <c r="B1148" t="s">
        <v>95</v>
      </c>
      <c r="C1148" t="s">
        <v>109</v>
      </c>
      <c r="D1148" s="8">
        <v>496.63</v>
      </c>
    </row>
    <row r="1149" spans="1:4" x14ac:dyDescent="0.45">
      <c r="A1149" s="7">
        <v>45395</v>
      </c>
      <c r="B1149" t="s">
        <v>95</v>
      </c>
      <c r="C1149" t="s">
        <v>99</v>
      </c>
      <c r="D1149" s="8">
        <v>310.14999999999998</v>
      </c>
    </row>
    <row r="1150" spans="1:4" x14ac:dyDescent="0.45">
      <c r="A1150" s="7">
        <v>45824</v>
      </c>
      <c r="B1150" t="s">
        <v>93</v>
      </c>
      <c r="C1150" t="s">
        <v>94</v>
      </c>
      <c r="D1150" s="8">
        <v>42.31</v>
      </c>
    </row>
    <row r="1151" spans="1:4" x14ac:dyDescent="0.45">
      <c r="A1151" s="7">
        <v>45298</v>
      </c>
      <c r="B1151" t="s">
        <v>93</v>
      </c>
      <c r="C1151" t="s">
        <v>106</v>
      </c>
      <c r="D1151" s="8">
        <v>348.89</v>
      </c>
    </row>
    <row r="1152" spans="1:4" x14ac:dyDescent="0.45">
      <c r="A1152" s="7">
        <v>45544</v>
      </c>
      <c r="B1152" t="s">
        <v>95</v>
      </c>
      <c r="C1152" t="s">
        <v>99</v>
      </c>
      <c r="D1152" s="8">
        <v>28.65</v>
      </c>
    </row>
    <row r="1153" spans="1:4" x14ac:dyDescent="0.45">
      <c r="A1153" s="7">
        <v>45481</v>
      </c>
      <c r="B1153" t="s">
        <v>95</v>
      </c>
      <c r="C1153" t="s">
        <v>105</v>
      </c>
      <c r="D1153" s="8">
        <v>347.94</v>
      </c>
    </row>
    <row r="1154" spans="1:4" x14ac:dyDescent="0.45">
      <c r="A1154" s="7">
        <v>45976</v>
      </c>
      <c r="B1154" t="s">
        <v>93</v>
      </c>
      <c r="C1154" t="s">
        <v>94</v>
      </c>
      <c r="D1154" s="8">
        <v>38.92</v>
      </c>
    </row>
    <row r="1155" spans="1:4" x14ac:dyDescent="0.45">
      <c r="A1155" s="7">
        <v>45413</v>
      </c>
      <c r="B1155" t="s">
        <v>93</v>
      </c>
      <c r="C1155" t="s">
        <v>94</v>
      </c>
      <c r="D1155" s="8">
        <v>337.94</v>
      </c>
    </row>
    <row r="1156" spans="1:4" x14ac:dyDescent="0.45">
      <c r="A1156" s="7">
        <v>45475</v>
      </c>
      <c r="B1156" t="s">
        <v>93</v>
      </c>
      <c r="C1156" t="s">
        <v>103</v>
      </c>
      <c r="D1156" s="8">
        <v>100</v>
      </c>
    </row>
    <row r="1157" spans="1:4" x14ac:dyDescent="0.45">
      <c r="A1157" s="7">
        <v>46164</v>
      </c>
      <c r="B1157" t="s">
        <v>95</v>
      </c>
      <c r="C1157" t="s">
        <v>96</v>
      </c>
      <c r="D1157" s="8">
        <v>14.91</v>
      </c>
    </row>
    <row r="1158" spans="1:4" x14ac:dyDescent="0.45">
      <c r="A1158" s="7">
        <v>45500</v>
      </c>
      <c r="B1158" t="s">
        <v>95</v>
      </c>
      <c r="C1158" t="s">
        <v>108</v>
      </c>
      <c r="D1158" s="8">
        <v>473.22</v>
      </c>
    </row>
    <row r="1159" spans="1:4" x14ac:dyDescent="0.45">
      <c r="A1159" s="7">
        <v>45725</v>
      </c>
      <c r="B1159" t="s">
        <v>97</v>
      </c>
      <c r="C1159" t="s">
        <v>98</v>
      </c>
      <c r="D1159" s="8">
        <v>-11.83</v>
      </c>
    </row>
    <row r="1160" spans="1:4" x14ac:dyDescent="0.45">
      <c r="A1160" s="7">
        <v>45745</v>
      </c>
      <c r="B1160" t="s">
        <v>97</v>
      </c>
      <c r="C1160" t="s">
        <v>98</v>
      </c>
      <c r="D1160" s="8">
        <v>103.75</v>
      </c>
    </row>
    <row r="1161" spans="1:4" x14ac:dyDescent="0.45">
      <c r="A1161" s="7">
        <v>46166</v>
      </c>
      <c r="B1161" t="s">
        <v>93</v>
      </c>
      <c r="C1161" t="s">
        <v>100</v>
      </c>
      <c r="D1161" s="8">
        <v>328.03</v>
      </c>
    </row>
    <row r="1162" spans="1:4" x14ac:dyDescent="0.45">
      <c r="A1162" s="7">
        <v>45923</v>
      </c>
      <c r="B1162" t="s">
        <v>93</v>
      </c>
      <c r="C1162" t="s">
        <v>106</v>
      </c>
      <c r="D1162" s="8">
        <v>369.67</v>
      </c>
    </row>
    <row r="1163" spans="1:4" x14ac:dyDescent="0.45">
      <c r="A1163" s="7">
        <v>45684</v>
      </c>
      <c r="B1163" t="s">
        <v>93</v>
      </c>
      <c r="C1163" t="s">
        <v>103</v>
      </c>
      <c r="D1163" s="8">
        <v>156.36000000000001</v>
      </c>
    </row>
    <row r="1164" spans="1:4" x14ac:dyDescent="0.45">
      <c r="A1164" s="7">
        <v>45790</v>
      </c>
      <c r="B1164" t="s">
        <v>95</v>
      </c>
      <c r="C1164" t="s">
        <v>99</v>
      </c>
      <c r="D1164" s="8">
        <v>158.08000000000001</v>
      </c>
    </row>
    <row r="1165" spans="1:4" x14ac:dyDescent="0.45">
      <c r="A1165" s="7">
        <v>45661</v>
      </c>
      <c r="B1165" t="s">
        <v>95</v>
      </c>
      <c r="C1165" t="s">
        <v>96</v>
      </c>
      <c r="D1165" s="8">
        <v>295.68</v>
      </c>
    </row>
    <row r="1166" spans="1:4" x14ac:dyDescent="0.45">
      <c r="A1166" s="7">
        <v>45392</v>
      </c>
      <c r="B1166" t="s">
        <v>97</v>
      </c>
      <c r="C1166" t="s">
        <v>107</v>
      </c>
      <c r="D1166" s="8">
        <v>-41.31</v>
      </c>
    </row>
    <row r="1167" spans="1:4" x14ac:dyDescent="0.45">
      <c r="A1167" s="7">
        <v>45957</v>
      </c>
      <c r="B1167" t="s">
        <v>93</v>
      </c>
      <c r="C1167" t="s">
        <v>100</v>
      </c>
      <c r="D1167" s="8">
        <v>189.13</v>
      </c>
    </row>
    <row r="1168" spans="1:4" x14ac:dyDescent="0.45">
      <c r="A1168" s="7">
        <v>46180</v>
      </c>
      <c r="B1168" t="s">
        <v>97</v>
      </c>
      <c r="C1168" t="s">
        <v>101</v>
      </c>
      <c r="D1168" s="8">
        <v>-118.57</v>
      </c>
    </row>
    <row r="1169" spans="1:4" x14ac:dyDescent="0.45">
      <c r="A1169" s="7">
        <v>45721</v>
      </c>
      <c r="B1169" t="s">
        <v>93</v>
      </c>
      <c r="C1169" t="s">
        <v>100</v>
      </c>
      <c r="D1169" s="8">
        <v>202.33</v>
      </c>
    </row>
    <row r="1170" spans="1:4" x14ac:dyDescent="0.45">
      <c r="A1170" s="7">
        <v>45592</v>
      </c>
      <c r="B1170" t="s">
        <v>97</v>
      </c>
      <c r="C1170" t="s">
        <v>104</v>
      </c>
      <c r="D1170" s="8">
        <v>-45.22</v>
      </c>
    </row>
    <row r="1171" spans="1:4" x14ac:dyDescent="0.45">
      <c r="A1171" s="7">
        <v>45369</v>
      </c>
      <c r="B1171" t="s">
        <v>95</v>
      </c>
      <c r="C1171" t="s">
        <v>109</v>
      </c>
      <c r="D1171" s="8">
        <v>324.55</v>
      </c>
    </row>
    <row r="1172" spans="1:4" x14ac:dyDescent="0.45">
      <c r="A1172" s="7">
        <v>45994</v>
      </c>
      <c r="B1172" t="s">
        <v>97</v>
      </c>
      <c r="C1172" t="s">
        <v>107</v>
      </c>
      <c r="D1172" s="8">
        <v>446.73</v>
      </c>
    </row>
    <row r="1173" spans="1:4" x14ac:dyDescent="0.45">
      <c r="A1173" s="7">
        <v>45663</v>
      </c>
      <c r="B1173" t="s">
        <v>95</v>
      </c>
      <c r="C1173" t="s">
        <v>102</v>
      </c>
      <c r="D1173" s="8">
        <v>256.23</v>
      </c>
    </row>
    <row r="1174" spans="1:4" x14ac:dyDescent="0.45">
      <c r="A1174" s="7">
        <v>45302</v>
      </c>
      <c r="B1174" t="s">
        <v>95</v>
      </c>
      <c r="C1174" t="s">
        <v>108</v>
      </c>
      <c r="D1174" s="8">
        <v>478.67</v>
      </c>
    </row>
    <row r="1175" spans="1:4" x14ac:dyDescent="0.45">
      <c r="A1175" s="7">
        <v>45575</v>
      </c>
      <c r="B1175" t="s">
        <v>93</v>
      </c>
      <c r="C1175" t="s">
        <v>100</v>
      </c>
      <c r="D1175" s="8">
        <v>359.35</v>
      </c>
    </row>
    <row r="1176" spans="1:4" x14ac:dyDescent="0.45">
      <c r="A1176" s="7">
        <v>46092</v>
      </c>
      <c r="B1176" t="s">
        <v>97</v>
      </c>
      <c r="C1176" t="s">
        <v>101</v>
      </c>
      <c r="D1176" s="8">
        <v>70.75</v>
      </c>
    </row>
    <row r="1177" spans="1:4" x14ac:dyDescent="0.45">
      <c r="A1177" s="7">
        <v>45575</v>
      </c>
      <c r="B1177" t="s">
        <v>95</v>
      </c>
      <c r="C1177" t="s">
        <v>102</v>
      </c>
      <c r="D1177" s="8">
        <v>35.049999999999997</v>
      </c>
    </row>
    <row r="1178" spans="1:4" x14ac:dyDescent="0.45">
      <c r="A1178" s="7">
        <v>45752</v>
      </c>
      <c r="B1178" t="s">
        <v>93</v>
      </c>
      <c r="C1178" t="s">
        <v>106</v>
      </c>
      <c r="D1178" s="8">
        <v>403.86</v>
      </c>
    </row>
    <row r="1179" spans="1:4" x14ac:dyDescent="0.45">
      <c r="A1179" s="7">
        <v>45402</v>
      </c>
      <c r="B1179" t="s">
        <v>97</v>
      </c>
      <c r="C1179" t="s">
        <v>98</v>
      </c>
      <c r="D1179" s="8">
        <v>-148.06</v>
      </c>
    </row>
    <row r="1180" spans="1:4" x14ac:dyDescent="0.45">
      <c r="A1180" s="7">
        <v>45733</v>
      </c>
      <c r="B1180" t="s">
        <v>97</v>
      </c>
      <c r="C1180" t="s">
        <v>98</v>
      </c>
      <c r="D1180" s="8">
        <v>193.48</v>
      </c>
    </row>
    <row r="1181" spans="1:4" x14ac:dyDescent="0.45">
      <c r="A1181" s="7">
        <v>45577</v>
      </c>
      <c r="B1181" t="s">
        <v>95</v>
      </c>
      <c r="C1181" t="s">
        <v>108</v>
      </c>
      <c r="D1181" s="8">
        <v>19.05</v>
      </c>
    </row>
    <row r="1182" spans="1:4" x14ac:dyDescent="0.45">
      <c r="A1182" s="7">
        <v>45499</v>
      </c>
      <c r="B1182" t="s">
        <v>95</v>
      </c>
      <c r="C1182" t="s">
        <v>108</v>
      </c>
      <c r="D1182" s="8">
        <v>78.83</v>
      </c>
    </row>
    <row r="1183" spans="1:4" x14ac:dyDescent="0.45">
      <c r="A1183" s="7">
        <v>45957</v>
      </c>
      <c r="B1183" t="s">
        <v>97</v>
      </c>
      <c r="C1183" t="s">
        <v>107</v>
      </c>
      <c r="D1183" s="8">
        <v>44.99</v>
      </c>
    </row>
    <row r="1184" spans="1:4" x14ac:dyDescent="0.45">
      <c r="A1184" s="7">
        <v>45670</v>
      </c>
      <c r="B1184" t="s">
        <v>95</v>
      </c>
      <c r="C1184" t="s">
        <v>105</v>
      </c>
      <c r="D1184" s="8">
        <v>10.19</v>
      </c>
    </row>
    <row r="1185" spans="1:4" x14ac:dyDescent="0.45">
      <c r="A1185" s="7">
        <v>45477</v>
      </c>
      <c r="B1185" t="s">
        <v>93</v>
      </c>
      <c r="C1185" t="s">
        <v>100</v>
      </c>
      <c r="D1185" s="8">
        <v>69.02</v>
      </c>
    </row>
    <row r="1186" spans="1:4" x14ac:dyDescent="0.45">
      <c r="A1186" s="7">
        <v>46152</v>
      </c>
      <c r="B1186" t="s">
        <v>97</v>
      </c>
      <c r="C1186" t="s">
        <v>101</v>
      </c>
      <c r="D1186" s="8">
        <v>343.96</v>
      </c>
    </row>
    <row r="1187" spans="1:4" x14ac:dyDescent="0.45">
      <c r="A1187" s="7">
        <v>45512</v>
      </c>
      <c r="B1187" t="s">
        <v>93</v>
      </c>
      <c r="C1187" t="s">
        <v>106</v>
      </c>
      <c r="D1187" s="8">
        <v>459.21</v>
      </c>
    </row>
    <row r="1188" spans="1:4" x14ac:dyDescent="0.45">
      <c r="A1188" s="7">
        <v>45839</v>
      </c>
      <c r="B1188" t="s">
        <v>93</v>
      </c>
      <c r="C1188" t="s">
        <v>106</v>
      </c>
      <c r="D1188" s="8">
        <v>207.19</v>
      </c>
    </row>
    <row r="1189" spans="1:4" x14ac:dyDescent="0.45">
      <c r="A1189" s="7">
        <v>45922</v>
      </c>
      <c r="B1189" t="s">
        <v>97</v>
      </c>
      <c r="C1189" t="s">
        <v>98</v>
      </c>
      <c r="D1189" s="8">
        <v>-10.3</v>
      </c>
    </row>
    <row r="1190" spans="1:4" x14ac:dyDescent="0.45">
      <c r="A1190" s="7">
        <v>45516</v>
      </c>
      <c r="B1190" t="s">
        <v>93</v>
      </c>
      <c r="C1190" t="s">
        <v>103</v>
      </c>
      <c r="D1190" s="8">
        <v>308.45</v>
      </c>
    </row>
    <row r="1191" spans="1:4" x14ac:dyDescent="0.45">
      <c r="A1191" s="7">
        <v>45710</v>
      </c>
      <c r="B1191" t="s">
        <v>95</v>
      </c>
      <c r="C1191" t="s">
        <v>109</v>
      </c>
      <c r="D1191" s="8">
        <v>19.600000000000001</v>
      </c>
    </row>
    <row r="1192" spans="1:4" x14ac:dyDescent="0.45">
      <c r="A1192" s="7">
        <v>45649</v>
      </c>
      <c r="B1192" t="s">
        <v>97</v>
      </c>
      <c r="C1192" t="s">
        <v>101</v>
      </c>
      <c r="D1192" s="8">
        <v>195.3</v>
      </c>
    </row>
    <row r="1193" spans="1:4" x14ac:dyDescent="0.45">
      <c r="A1193" s="7">
        <v>45664</v>
      </c>
      <c r="B1193" t="s">
        <v>95</v>
      </c>
      <c r="C1193" t="s">
        <v>102</v>
      </c>
      <c r="D1193" s="8">
        <v>164.23</v>
      </c>
    </row>
    <row r="1194" spans="1:4" x14ac:dyDescent="0.45">
      <c r="A1194" s="7">
        <v>45738</v>
      </c>
      <c r="B1194" t="s">
        <v>93</v>
      </c>
      <c r="C1194" t="s">
        <v>103</v>
      </c>
      <c r="D1194" s="8">
        <v>182.33</v>
      </c>
    </row>
    <row r="1195" spans="1:4" x14ac:dyDescent="0.45">
      <c r="A1195" s="7">
        <v>45772</v>
      </c>
      <c r="B1195" t="s">
        <v>95</v>
      </c>
      <c r="C1195" t="s">
        <v>102</v>
      </c>
      <c r="D1195" s="8">
        <v>233.64</v>
      </c>
    </row>
    <row r="1196" spans="1:4" x14ac:dyDescent="0.45">
      <c r="A1196" s="7">
        <v>45598</v>
      </c>
      <c r="B1196" t="s">
        <v>95</v>
      </c>
      <c r="C1196" t="s">
        <v>108</v>
      </c>
      <c r="D1196" s="8">
        <v>-86.84</v>
      </c>
    </row>
    <row r="1197" spans="1:4" x14ac:dyDescent="0.45">
      <c r="A1197" s="7">
        <v>45521</v>
      </c>
      <c r="B1197" t="s">
        <v>93</v>
      </c>
      <c r="C1197" t="s">
        <v>106</v>
      </c>
      <c r="D1197" s="8">
        <v>89.79</v>
      </c>
    </row>
    <row r="1198" spans="1:4" x14ac:dyDescent="0.45">
      <c r="A1198" s="7">
        <v>45799</v>
      </c>
      <c r="B1198" t="s">
        <v>97</v>
      </c>
      <c r="C1198" t="s">
        <v>98</v>
      </c>
      <c r="D1198" s="8">
        <v>-146.24</v>
      </c>
    </row>
    <row r="1199" spans="1:4" x14ac:dyDescent="0.45">
      <c r="A1199" s="7">
        <v>45587</v>
      </c>
      <c r="B1199" t="s">
        <v>93</v>
      </c>
      <c r="C1199" t="s">
        <v>106</v>
      </c>
      <c r="D1199" s="8">
        <v>276.52999999999997</v>
      </c>
    </row>
    <row r="1200" spans="1:4" x14ac:dyDescent="0.45">
      <c r="A1200" s="7">
        <v>45335</v>
      </c>
      <c r="B1200" t="s">
        <v>95</v>
      </c>
      <c r="C1200" t="s">
        <v>108</v>
      </c>
      <c r="D1200" s="8">
        <v>172</v>
      </c>
    </row>
    <row r="1201" spans="1:4" x14ac:dyDescent="0.45">
      <c r="A1201" s="7">
        <v>45827</v>
      </c>
      <c r="B1201" t="s">
        <v>95</v>
      </c>
      <c r="C1201" t="s">
        <v>99</v>
      </c>
      <c r="D1201" s="8">
        <v>241.59</v>
      </c>
    </row>
    <row r="1202" spans="1:4" x14ac:dyDescent="0.45">
      <c r="A1202" s="7">
        <v>45826</v>
      </c>
      <c r="B1202" t="s">
        <v>93</v>
      </c>
      <c r="C1202" t="s">
        <v>100</v>
      </c>
      <c r="D1202" s="8">
        <v>181.12</v>
      </c>
    </row>
    <row r="1203" spans="1:4" x14ac:dyDescent="0.45">
      <c r="A1203" s="7">
        <v>45996</v>
      </c>
      <c r="B1203" t="s">
        <v>97</v>
      </c>
      <c r="C1203" t="s">
        <v>107</v>
      </c>
      <c r="D1203" s="8">
        <v>427.13</v>
      </c>
    </row>
    <row r="1204" spans="1:4" x14ac:dyDescent="0.45">
      <c r="A1204" s="7">
        <v>45310</v>
      </c>
      <c r="B1204" t="s">
        <v>93</v>
      </c>
      <c r="C1204" t="s">
        <v>103</v>
      </c>
      <c r="D1204" s="8">
        <v>104.99</v>
      </c>
    </row>
    <row r="1205" spans="1:4" x14ac:dyDescent="0.45">
      <c r="A1205" s="7">
        <v>45414</v>
      </c>
      <c r="B1205" t="s">
        <v>93</v>
      </c>
      <c r="C1205" t="s">
        <v>100</v>
      </c>
      <c r="D1205" s="8">
        <v>159.47</v>
      </c>
    </row>
    <row r="1206" spans="1:4" x14ac:dyDescent="0.45">
      <c r="A1206" s="7">
        <v>45939</v>
      </c>
      <c r="B1206" t="s">
        <v>95</v>
      </c>
      <c r="C1206" t="s">
        <v>109</v>
      </c>
      <c r="D1206" s="8">
        <v>-18.36</v>
      </c>
    </row>
    <row r="1207" spans="1:4" x14ac:dyDescent="0.45">
      <c r="A1207" s="7">
        <v>45685</v>
      </c>
      <c r="B1207" t="s">
        <v>95</v>
      </c>
      <c r="C1207" t="s">
        <v>105</v>
      </c>
      <c r="D1207" s="8">
        <v>150.57</v>
      </c>
    </row>
    <row r="1208" spans="1:4" x14ac:dyDescent="0.45">
      <c r="A1208" s="7">
        <v>45986</v>
      </c>
      <c r="B1208" t="s">
        <v>97</v>
      </c>
      <c r="C1208" t="s">
        <v>98</v>
      </c>
      <c r="D1208" s="8">
        <v>194.77</v>
      </c>
    </row>
    <row r="1209" spans="1:4" x14ac:dyDescent="0.45">
      <c r="A1209" s="7">
        <v>45598</v>
      </c>
      <c r="B1209" t="s">
        <v>95</v>
      </c>
      <c r="C1209" t="s">
        <v>109</v>
      </c>
      <c r="D1209" s="8">
        <v>363.55</v>
      </c>
    </row>
    <row r="1210" spans="1:4" x14ac:dyDescent="0.45">
      <c r="A1210" s="7">
        <v>45587</v>
      </c>
      <c r="B1210" t="s">
        <v>97</v>
      </c>
      <c r="C1210" t="s">
        <v>101</v>
      </c>
      <c r="D1210" s="8">
        <v>83.18</v>
      </c>
    </row>
    <row r="1211" spans="1:4" x14ac:dyDescent="0.45">
      <c r="A1211" s="7">
        <v>45717</v>
      </c>
      <c r="B1211" t="s">
        <v>95</v>
      </c>
      <c r="C1211" t="s">
        <v>102</v>
      </c>
      <c r="D1211" s="8">
        <v>141.93</v>
      </c>
    </row>
    <row r="1212" spans="1:4" x14ac:dyDescent="0.45">
      <c r="A1212" s="7">
        <v>45572</v>
      </c>
      <c r="B1212" t="s">
        <v>95</v>
      </c>
      <c r="C1212" t="s">
        <v>109</v>
      </c>
      <c r="D1212" s="8">
        <v>454.07</v>
      </c>
    </row>
    <row r="1213" spans="1:4" x14ac:dyDescent="0.45">
      <c r="A1213" s="7">
        <v>45367</v>
      </c>
      <c r="B1213" t="s">
        <v>95</v>
      </c>
      <c r="C1213" t="s">
        <v>99</v>
      </c>
      <c r="D1213" s="8">
        <v>366.59</v>
      </c>
    </row>
    <row r="1214" spans="1:4" x14ac:dyDescent="0.45">
      <c r="A1214" s="7">
        <v>45732</v>
      </c>
      <c r="B1214" t="s">
        <v>93</v>
      </c>
      <c r="C1214" t="s">
        <v>100</v>
      </c>
      <c r="D1214" s="8">
        <v>126.23</v>
      </c>
    </row>
    <row r="1215" spans="1:4" x14ac:dyDescent="0.45">
      <c r="A1215" s="7">
        <v>45467</v>
      </c>
      <c r="B1215" t="s">
        <v>93</v>
      </c>
      <c r="C1215" t="s">
        <v>103</v>
      </c>
      <c r="D1215" s="8">
        <v>244.26</v>
      </c>
    </row>
    <row r="1216" spans="1:4" x14ac:dyDescent="0.45">
      <c r="A1216" s="7">
        <v>45533</v>
      </c>
      <c r="B1216" t="s">
        <v>95</v>
      </c>
      <c r="C1216" t="s">
        <v>99</v>
      </c>
      <c r="D1216" s="8">
        <v>320.55</v>
      </c>
    </row>
    <row r="1217" spans="1:4" x14ac:dyDescent="0.45">
      <c r="A1217" s="7">
        <v>45699</v>
      </c>
      <c r="B1217" t="s">
        <v>95</v>
      </c>
      <c r="C1217" t="s">
        <v>99</v>
      </c>
      <c r="D1217" s="8">
        <v>-16.489999999999998</v>
      </c>
    </row>
    <row r="1218" spans="1:4" x14ac:dyDescent="0.45">
      <c r="A1218" s="7">
        <v>45327</v>
      </c>
      <c r="B1218" t="s">
        <v>97</v>
      </c>
      <c r="C1218" t="s">
        <v>107</v>
      </c>
      <c r="D1218" s="8">
        <v>328.8</v>
      </c>
    </row>
    <row r="1219" spans="1:4" x14ac:dyDescent="0.45">
      <c r="A1219" s="7">
        <v>45473</v>
      </c>
      <c r="B1219" t="s">
        <v>97</v>
      </c>
      <c r="C1219" t="s">
        <v>104</v>
      </c>
      <c r="D1219" s="8">
        <v>382.11</v>
      </c>
    </row>
    <row r="1220" spans="1:4" x14ac:dyDescent="0.45">
      <c r="A1220" s="7">
        <v>45925</v>
      </c>
      <c r="B1220" t="s">
        <v>95</v>
      </c>
      <c r="C1220" t="s">
        <v>105</v>
      </c>
      <c r="D1220" s="8">
        <v>-100.24</v>
      </c>
    </row>
    <row r="1221" spans="1:4" x14ac:dyDescent="0.45">
      <c r="A1221" s="7">
        <v>45317</v>
      </c>
      <c r="B1221" t="s">
        <v>95</v>
      </c>
      <c r="C1221" t="s">
        <v>109</v>
      </c>
      <c r="D1221" s="8">
        <v>357.73</v>
      </c>
    </row>
    <row r="1222" spans="1:4" x14ac:dyDescent="0.45">
      <c r="A1222" s="7">
        <v>46052</v>
      </c>
      <c r="B1222" t="s">
        <v>95</v>
      </c>
      <c r="C1222" t="s">
        <v>96</v>
      </c>
      <c r="D1222" s="8">
        <v>56.7</v>
      </c>
    </row>
    <row r="1223" spans="1:4" x14ac:dyDescent="0.45">
      <c r="A1223" s="7">
        <v>45804</v>
      </c>
      <c r="B1223" t="s">
        <v>93</v>
      </c>
      <c r="C1223" t="s">
        <v>94</v>
      </c>
      <c r="D1223" s="8">
        <v>266.48</v>
      </c>
    </row>
    <row r="1224" spans="1:4" x14ac:dyDescent="0.45">
      <c r="A1224" s="7">
        <v>46073</v>
      </c>
      <c r="B1224" t="s">
        <v>93</v>
      </c>
      <c r="C1224" t="s">
        <v>106</v>
      </c>
      <c r="D1224" s="8">
        <v>421.86</v>
      </c>
    </row>
    <row r="1225" spans="1:4" x14ac:dyDescent="0.45">
      <c r="A1225" s="7">
        <v>45958</v>
      </c>
      <c r="B1225" t="s">
        <v>93</v>
      </c>
      <c r="C1225" t="s">
        <v>103</v>
      </c>
      <c r="D1225" s="8">
        <v>246.58</v>
      </c>
    </row>
    <row r="1226" spans="1:4" x14ac:dyDescent="0.45">
      <c r="A1226" s="7">
        <v>46191</v>
      </c>
      <c r="B1226" t="s">
        <v>97</v>
      </c>
      <c r="C1226" t="s">
        <v>101</v>
      </c>
      <c r="D1226" s="8">
        <v>459.53</v>
      </c>
    </row>
    <row r="1227" spans="1:4" x14ac:dyDescent="0.45">
      <c r="A1227" s="7">
        <v>45720</v>
      </c>
      <c r="B1227" t="s">
        <v>97</v>
      </c>
      <c r="C1227" t="s">
        <v>107</v>
      </c>
      <c r="D1227" s="8">
        <v>-94.19</v>
      </c>
    </row>
    <row r="1228" spans="1:4" x14ac:dyDescent="0.45">
      <c r="A1228" s="7">
        <v>46170</v>
      </c>
      <c r="B1228" t="s">
        <v>93</v>
      </c>
      <c r="C1228" t="s">
        <v>103</v>
      </c>
      <c r="D1228" s="8">
        <v>-106.16</v>
      </c>
    </row>
    <row r="1229" spans="1:4" x14ac:dyDescent="0.45">
      <c r="A1229" s="7">
        <v>45849</v>
      </c>
      <c r="B1229" t="s">
        <v>93</v>
      </c>
      <c r="C1229" t="s">
        <v>94</v>
      </c>
      <c r="D1229" s="8">
        <v>142.25</v>
      </c>
    </row>
    <row r="1230" spans="1:4" x14ac:dyDescent="0.45">
      <c r="A1230" s="7">
        <v>45337</v>
      </c>
      <c r="B1230" t="s">
        <v>97</v>
      </c>
      <c r="C1230" t="s">
        <v>98</v>
      </c>
      <c r="D1230" s="8">
        <v>306.85000000000002</v>
      </c>
    </row>
    <row r="1231" spans="1:4" x14ac:dyDescent="0.45">
      <c r="A1231" s="7">
        <v>45418</v>
      </c>
      <c r="B1231" t="s">
        <v>93</v>
      </c>
      <c r="C1231" t="s">
        <v>94</v>
      </c>
      <c r="D1231" s="8">
        <v>142.07</v>
      </c>
    </row>
    <row r="1232" spans="1:4" x14ac:dyDescent="0.45">
      <c r="A1232" s="7">
        <v>45957</v>
      </c>
      <c r="B1232" t="s">
        <v>93</v>
      </c>
      <c r="C1232" t="s">
        <v>100</v>
      </c>
      <c r="D1232" s="8">
        <v>324.36</v>
      </c>
    </row>
    <row r="1233" spans="1:4" x14ac:dyDescent="0.45">
      <c r="A1233" s="7">
        <v>46036</v>
      </c>
      <c r="B1233" t="s">
        <v>95</v>
      </c>
      <c r="C1233" t="s">
        <v>108</v>
      </c>
      <c r="D1233" s="8">
        <v>348.35</v>
      </c>
    </row>
    <row r="1234" spans="1:4" x14ac:dyDescent="0.45">
      <c r="A1234" s="7">
        <v>45471</v>
      </c>
      <c r="B1234" t="s">
        <v>93</v>
      </c>
      <c r="C1234" t="s">
        <v>106</v>
      </c>
      <c r="D1234" s="8">
        <v>128.61000000000001</v>
      </c>
    </row>
    <row r="1235" spans="1:4" x14ac:dyDescent="0.45">
      <c r="A1235" s="7">
        <v>45364</v>
      </c>
      <c r="B1235" t="s">
        <v>95</v>
      </c>
      <c r="C1235" t="s">
        <v>99</v>
      </c>
      <c r="D1235" s="8">
        <v>-96.97</v>
      </c>
    </row>
    <row r="1236" spans="1:4" x14ac:dyDescent="0.45">
      <c r="A1236" s="7">
        <v>46051</v>
      </c>
      <c r="B1236" t="s">
        <v>95</v>
      </c>
      <c r="C1236" t="s">
        <v>99</v>
      </c>
      <c r="D1236" s="8">
        <v>395.66</v>
      </c>
    </row>
    <row r="1237" spans="1:4" x14ac:dyDescent="0.45">
      <c r="A1237" s="7">
        <v>45713</v>
      </c>
      <c r="B1237" t="s">
        <v>95</v>
      </c>
      <c r="C1237" t="s">
        <v>105</v>
      </c>
      <c r="D1237" s="8">
        <v>-53.69</v>
      </c>
    </row>
    <row r="1238" spans="1:4" x14ac:dyDescent="0.45">
      <c r="A1238" s="7">
        <v>46018</v>
      </c>
      <c r="B1238" t="s">
        <v>97</v>
      </c>
      <c r="C1238" t="s">
        <v>104</v>
      </c>
      <c r="D1238" s="8">
        <v>72.709999999999994</v>
      </c>
    </row>
    <row r="1239" spans="1:4" x14ac:dyDescent="0.45">
      <c r="A1239" s="7">
        <v>45981</v>
      </c>
      <c r="B1239" t="s">
        <v>97</v>
      </c>
      <c r="C1239" t="s">
        <v>101</v>
      </c>
      <c r="D1239" s="8">
        <v>70.92</v>
      </c>
    </row>
    <row r="1240" spans="1:4" x14ac:dyDescent="0.45">
      <c r="A1240" s="7">
        <v>45377</v>
      </c>
      <c r="B1240" t="s">
        <v>95</v>
      </c>
      <c r="C1240" t="s">
        <v>96</v>
      </c>
      <c r="D1240" s="8">
        <v>463.18</v>
      </c>
    </row>
    <row r="1241" spans="1:4" x14ac:dyDescent="0.45">
      <c r="A1241" s="7">
        <v>45995</v>
      </c>
      <c r="B1241" t="s">
        <v>93</v>
      </c>
      <c r="C1241" t="s">
        <v>103</v>
      </c>
      <c r="D1241" s="8">
        <v>334.8</v>
      </c>
    </row>
    <row r="1242" spans="1:4" x14ac:dyDescent="0.45">
      <c r="A1242" s="7">
        <v>45351</v>
      </c>
      <c r="B1242" t="s">
        <v>95</v>
      </c>
      <c r="C1242" t="s">
        <v>109</v>
      </c>
      <c r="D1242" s="8">
        <v>138.27000000000001</v>
      </c>
    </row>
    <row r="1243" spans="1:4" x14ac:dyDescent="0.45">
      <c r="A1243" s="7">
        <v>45744</v>
      </c>
      <c r="B1243" t="s">
        <v>93</v>
      </c>
      <c r="C1243" t="s">
        <v>103</v>
      </c>
      <c r="D1243" s="8">
        <v>354.55</v>
      </c>
    </row>
    <row r="1244" spans="1:4" x14ac:dyDescent="0.45">
      <c r="A1244" s="7">
        <v>45607</v>
      </c>
      <c r="B1244" t="s">
        <v>97</v>
      </c>
      <c r="C1244" t="s">
        <v>101</v>
      </c>
      <c r="D1244" s="8">
        <v>303.2</v>
      </c>
    </row>
    <row r="1245" spans="1:4" x14ac:dyDescent="0.45">
      <c r="A1245" s="7">
        <v>45752</v>
      </c>
      <c r="B1245" t="s">
        <v>95</v>
      </c>
      <c r="C1245" t="s">
        <v>99</v>
      </c>
      <c r="D1245" s="8">
        <v>-69.650000000000006</v>
      </c>
    </row>
    <row r="1246" spans="1:4" x14ac:dyDescent="0.45">
      <c r="A1246" s="7">
        <v>45596</v>
      </c>
      <c r="B1246" t="s">
        <v>93</v>
      </c>
      <c r="C1246" t="s">
        <v>94</v>
      </c>
      <c r="D1246" s="8">
        <v>327.93</v>
      </c>
    </row>
    <row r="1247" spans="1:4" x14ac:dyDescent="0.45">
      <c r="A1247" s="7">
        <v>45423</v>
      </c>
      <c r="B1247" t="s">
        <v>93</v>
      </c>
      <c r="C1247" t="s">
        <v>100</v>
      </c>
      <c r="D1247" s="8">
        <v>318.41000000000003</v>
      </c>
    </row>
    <row r="1248" spans="1:4" x14ac:dyDescent="0.45">
      <c r="A1248" s="7">
        <v>46129</v>
      </c>
      <c r="B1248" t="s">
        <v>93</v>
      </c>
      <c r="C1248" t="s">
        <v>94</v>
      </c>
      <c r="D1248" s="8">
        <v>280.32</v>
      </c>
    </row>
    <row r="1249" spans="1:4" x14ac:dyDescent="0.45">
      <c r="A1249" s="7">
        <v>46041</v>
      </c>
      <c r="B1249" t="s">
        <v>93</v>
      </c>
      <c r="C1249" t="s">
        <v>106</v>
      </c>
      <c r="D1249" s="8">
        <v>279.25</v>
      </c>
    </row>
    <row r="1250" spans="1:4" x14ac:dyDescent="0.45">
      <c r="A1250" s="7">
        <v>45614</v>
      </c>
      <c r="B1250" t="s">
        <v>97</v>
      </c>
      <c r="C1250" t="s">
        <v>107</v>
      </c>
      <c r="D1250" s="8">
        <v>439.63</v>
      </c>
    </row>
    <row r="1251" spans="1:4" x14ac:dyDescent="0.45">
      <c r="A1251" s="7">
        <v>45951</v>
      </c>
      <c r="B1251" t="s">
        <v>93</v>
      </c>
      <c r="C1251" t="s">
        <v>103</v>
      </c>
      <c r="D1251" s="8">
        <v>-38.11</v>
      </c>
    </row>
    <row r="1252" spans="1:4" x14ac:dyDescent="0.45">
      <c r="A1252" s="7">
        <v>46101</v>
      </c>
      <c r="B1252" t="s">
        <v>97</v>
      </c>
      <c r="C1252" t="s">
        <v>104</v>
      </c>
      <c r="D1252" s="8">
        <v>-73.44</v>
      </c>
    </row>
    <row r="1253" spans="1:4" x14ac:dyDescent="0.45">
      <c r="A1253" s="7">
        <v>45591</v>
      </c>
      <c r="B1253" t="s">
        <v>95</v>
      </c>
      <c r="C1253" t="s">
        <v>99</v>
      </c>
      <c r="D1253" s="8">
        <v>131.61000000000001</v>
      </c>
    </row>
    <row r="1254" spans="1:4" x14ac:dyDescent="0.45">
      <c r="A1254" s="7">
        <v>45922</v>
      </c>
      <c r="B1254" t="s">
        <v>97</v>
      </c>
      <c r="C1254" t="s">
        <v>104</v>
      </c>
      <c r="D1254" s="8">
        <v>-20.23</v>
      </c>
    </row>
    <row r="1255" spans="1:4" x14ac:dyDescent="0.45">
      <c r="A1255" s="7">
        <v>46024</v>
      </c>
      <c r="B1255" t="s">
        <v>93</v>
      </c>
      <c r="C1255" t="s">
        <v>106</v>
      </c>
      <c r="D1255" s="8">
        <v>-89.31</v>
      </c>
    </row>
    <row r="1256" spans="1:4" x14ac:dyDescent="0.45">
      <c r="A1256" s="7">
        <v>45889</v>
      </c>
      <c r="B1256" t="s">
        <v>97</v>
      </c>
      <c r="C1256" t="s">
        <v>98</v>
      </c>
      <c r="D1256" s="8">
        <v>247.46</v>
      </c>
    </row>
    <row r="1257" spans="1:4" x14ac:dyDescent="0.45">
      <c r="A1257" s="7">
        <v>46113</v>
      </c>
      <c r="B1257" t="s">
        <v>93</v>
      </c>
      <c r="C1257" t="s">
        <v>103</v>
      </c>
      <c r="D1257" s="8">
        <v>299.24</v>
      </c>
    </row>
    <row r="1258" spans="1:4" x14ac:dyDescent="0.45">
      <c r="A1258" s="7">
        <v>45374</v>
      </c>
      <c r="B1258" t="s">
        <v>97</v>
      </c>
      <c r="C1258" t="s">
        <v>104</v>
      </c>
      <c r="D1258" s="8">
        <v>35.159999999999997</v>
      </c>
    </row>
    <row r="1259" spans="1:4" x14ac:dyDescent="0.45">
      <c r="A1259" s="7">
        <v>45699</v>
      </c>
      <c r="B1259" t="s">
        <v>93</v>
      </c>
      <c r="C1259" t="s">
        <v>103</v>
      </c>
      <c r="D1259" s="8">
        <v>-114.07</v>
      </c>
    </row>
    <row r="1260" spans="1:4" x14ac:dyDescent="0.45">
      <c r="A1260" s="7">
        <v>46155</v>
      </c>
      <c r="B1260" t="s">
        <v>93</v>
      </c>
      <c r="C1260" t="s">
        <v>106</v>
      </c>
      <c r="D1260" s="8">
        <v>187.02</v>
      </c>
    </row>
    <row r="1261" spans="1:4" x14ac:dyDescent="0.45">
      <c r="A1261" s="7">
        <v>45914</v>
      </c>
      <c r="B1261" t="s">
        <v>97</v>
      </c>
      <c r="C1261" t="s">
        <v>107</v>
      </c>
      <c r="D1261" s="8">
        <v>114.78</v>
      </c>
    </row>
    <row r="1262" spans="1:4" x14ac:dyDescent="0.45">
      <c r="A1262" s="7">
        <v>45635</v>
      </c>
      <c r="B1262" t="s">
        <v>95</v>
      </c>
      <c r="C1262" t="s">
        <v>109</v>
      </c>
      <c r="D1262" s="8">
        <v>267.23</v>
      </c>
    </row>
    <row r="1263" spans="1:4" x14ac:dyDescent="0.45">
      <c r="A1263" s="7">
        <v>45763</v>
      </c>
      <c r="B1263" t="s">
        <v>95</v>
      </c>
      <c r="C1263" t="s">
        <v>109</v>
      </c>
      <c r="D1263" s="8">
        <v>19.32</v>
      </c>
    </row>
    <row r="1264" spans="1:4" x14ac:dyDescent="0.45">
      <c r="A1264" s="7">
        <v>45621</v>
      </c>
      <c r="B1264" t="s">
        <v>97</v>
      </c>
      <c r="C1264" t="s">
        <v>104</v>
      </c>
      <c r="D1264" s="8">
        <v>481.85</v>
      </c>
    </row>
    <row r="1265" spans="1:4" x14ac:dyDescent="0.45">
      <c r="A1265" s="7">
        <v>45778</v>
      </c>
      <c r="B1265" t="s">
        <v>93</v>
      </c>
      <c r="C1265" t="s">
        <v>103</v>
      </c>
      <c r="D1265" s="8">
        <v>-135.18</v>
      </c>
    </row>
    <row r="1266" spans="1:4" x14ac:dyDescent="0.45">
      <c r="A1266" s="7">
        <v>45748</v>
      </c>
      <c r="B1266" t="s">
        <v>97</v>
      </c>
      <c r="C1266" t="s">
        <v>98</v>
      </c>
      <c r="D1266" s="8">
        <v>465.03</v>
      </c>
    </row>
    <row r="1267" spans="1:4" x14ac:dyDescent="0.45">
      <c r="A1267" s="7">
        <v>46037</v>
      </c>
      <c r="B1267" t="s">
        <v>97</v>
      </c>
      <c r="C1267" t="s">
        <v>104</v>
      </c>
      <c r="D1267" s="8">
        <v>49.8</v>
      </c>
    </row>
    <row r="1268" spans="1:4" x14ac:dyDescent="0.45">
      <c r="A1268" s="7">
        <v>45827</v>
      </c>
      <c r="B1268" t="s">
        <v>93</v>
      </c>
      <c r="C1268" t="s">
        <v>103</v>
      </c>
      <c r="D1268" s="8">
        <v>323.07</v>
      </c>
    </row>
    <row r="1269" spans="1:4" x14ac:dyDescent="0.45">
      <c r="A1269" s="7">
        <v>45747</v>
      </c>
      <c r="B1269" t="s">
        <v>93</v>
      </c>
      <c r="C1269" t="s">
        <v>103</v>
      </c>
      <c r="D1269" s="8">
        <v>459.09</v>
      </c>
    </row>
    <row r="1270" spans="1:4" x14ac:dyDescent="0.45">
      <c r="A1270" s="7">
        <v>45535</v>
      </c>
      <c r="B1270" t="s">
        <v>97</v>
      </c>
      <c r="C1270" t="s">
        <v>101</v>
      </c>
      <c r="D1270" s="8">
        <v>64.709999999999994</v>
      </c>
    </row>
    <row r="1271" spans="1:4" x14ac:dyDescent="0.45">
      <c r="A1271" s="7">
        <v>45836</v>
      </c>
      <c r="B1271" t="s">
        <v>93</v>
      </c>
      <c r="C1271" t="s">
        <v>100</v>
      </c>
      <c r="D1271" s="8">
        <v>478.61</v>
      </c>
    </row>
    <row r="1272" spans="1:4" x14ac:dyDescent="0.45">
      <c r="A1272" s="7">
        <v>45395</v>
      </c>
      <c r="B1272" t="s">
        <v>97</v>
      </c>
      <c r="C1272" t="s">
        <v>107</v>
      </c>
      <c r="D1272" s="8">
        <v>-101.5</v>
      </c>
    </row>
    <row r="1273" spans="1:4" x14ac:dyDescent="0.45">
      <c r="A1273" s="7">
        <v>46029</v>
      </c>
      <c r="B1273" t="s">
        <v>93</v>
      </c>
      <c r="C1273" t="s">
        <v>94</v>
      </c>
      <c r="D1273" s="8">
        <v>151.97</v>
      </c>
    </row>
    <row r="1274" spans="1:4" x14ac:dyDescent="0.45">
      <c r="A1274" s="7">
        <v>46191</v>
      </c>
      <c r="B1274" t="s">
        <v>95</v>
      </c>
      <c r="C1274" t="s">
        <v>105</v>
      </c>
      <c r="D1274" s="8">
        <v>138.41999999999999</v>
      </c>
    </row>
    <row r="1275" spans="1:4" x14ac:dyDescent="0.45">
      <c r="A1275" s="7">
        <v>46015</v>
      </c>
      <c r="B1275" t="s">
        <v>95</v>
      </c>
      <c r="C1275" t="s">
        <v>109</v>
      </c>
      <c r="D1275" s="8">
        <v>-57.37</v>
      </c>
    </row>
    <row r="1276" spans="1:4" x14ac:dyDescent="0.45">
      <c r="A1276" s="7">
        <v>45642</v>
      </c>
      <c r="B1276" t="s">
        <v>95</v>
      </c>
      <c r="C1276" t="s">
        <v>96</v>
      </c>
      <c r="D1276" s="8">
        <v>211.33</v>
      </c>
    </row>
    <row r="1277" spans="1:4" x14ac:dyDescent="0.45">
      <c r="A1277" s="7">
        <v>46103</v>
      </c>
      <c r="B1277" t="s">
        <v>93</v>
      </c>
      <c r="C1277" t="s">
        <v>103</v>
      </c>
      <c r="D1277" s="8">
        <v>-62.95</v>
      </c>
    </row>
    <row r="1278" spans="1:4" x14ac:dyDescent="0.45">
      <c r="A1278" s="7">
        <v>45359</v>
      </c>
      <c r="B1278" t="s">
        <v>95</v>
      </c>
      <c r="C1278" t="s">
        <v>108</v>
      </c>
      <c r="D1278" s="8">
        <v>153.94</v>
      </c>
    </row>
    <row r="1279" spans="1:4" x14ac:dyDescent="0.45">
      <c r="A1279" s="7">
        <v>45886</v>
      </c>
      <c r="B1279" t="s">
        <v>97</v>
      </c>
      <c r="C1279" t="s">
        <v>104</v>
      </c>
      <c r="D1279" s="8">
        <v>42.14</v>
      </c>
    </row>
    <row r="1280" spans="1:4" x14ac:dyDescent="0.45">
      <c r="A1280" s="7">
        <v>45491</v>
      </c>
      <c r="B1280" t="s">
        <v>97</v>
      </c>
      <c r="C1280" t="s">
        <v>104</v>
      </c>
      <c r="D1280" s="8">
        <v>94.58</v>
      </c>
    </row>
    <row r="1281" spans="1:4" x14ac:dyDescent="0.45">
      <c r="A1281" s="7">
        <v>45385</v>
      </c>
      <c r="B1281" t="s">
        <v>95</v>
      </c>
      <c r="C1281" t="s">
        <v>108</v>
      </c>
      <c r="D1281" s="8">
        <v>-65.510000000000005</v>
      </c>
    </row>
    <row r="1282" spans="1:4" x14ac:dyDescent="0.45">
      <c r="A1282" s="7">
        <v>45859</v>
      </c>
      <c r="B1282" t="s">
        <v>93</v>
      </c>
      <c r="C1282" t="s">
        <v>100</v>
      </c>
      <c r="D1282" s="8">
        <v>323.74</v>
      </c>
    </row>
    <row r="1283" spans="1:4" x14ac:dyDescent="0.45">
      <c r="A1283" s="7">
        <v>45463</v>
      </c>
      <c r="B1283" t="s">
        <v>93</v>
      </c>
      <c r="C1283" t="s">
        <v>94</v>
      </c>
      <c r="D1283" s="8">
        <v>303.2</v>
      </c>
    </row>
    <row r="1284" spans="1:4" x14ac:dyDescent="0.45">
      <c r="A1284" s="7">
        <v>45359</v>
      </c>
      <c r="B1284" t="s">
        <v>93</v>
      </c>
      <c r="C1284" t="s">
        <v>94</v>
      </c>
      <c r="D1284" s="8">
        <v>164.13</v>
      </c>
    </row>
    <row r="1285" spans="1:4" x14ac:dyDescent="0.45">
      <c r="A1285" s="7">
        <v>45837</v>
      </c>
      <c r="B1285" t="s">
        <v>97</v>
      </c>
      <c r="C1285" t="s">
        <v>101</v>
      </c>
      <c r="D1285" s="8">
        <v>93.05</v>
      </c>
    </row>
    <row r="1286" spans="1:4" x14ac:dyDescent="0.45">
      <c r="A1286" s="7">
        <v>45864</v>
      </c>
      <c r="B1286" t="s">
        <v>95</v>
      </c>
      <c r="C1286" t="s">
        <v>96</v>
      </c>
      <c r="D1286" s="8">
        <v>-104.98</v>
      </c>
    </row>
    <row r="1287" spans="1:4" x14ac:dyDescent="0.45">
      <c r="A1287" s="7">
        <v>45489</v>
      </c>
      <c r="B1287" t="s">
        <v>93</v>
      </c>
      <c r="C1287" t="s">
        <v>103</v>
      </c>
      <c r="D1287" s="8">
        <v>131.97999999999999</v>
      </c>
    </row>
    <row r="1288" spans="1:4" x14ac:dyDescent="0.45">
      <c r="A1288" s="7">
        <v>45450</v>
      </c>
      <c r="B1288" t="s">
        <v>95</v>
      </c>
      <c r="C1288" t="s">
        <v>105</v>
      </c>
      <c r="D1288" s="8">
        <v>-63.06</v>
      </c>
    </row>
    <row r="1289" spans="1:4" x14ac:dyDescent="0.45">
      <c r="A1289" s="7">
        <v>45637</v>
      </c>
      <c r="B1289" t="s">
        <v>93</v>
      </c>
      <c r="C1289" t="s">
        <v>94</v>
      </c>
      <c r="D1289" s="8">
        <v>148.94</v>
      </c>
    </row>
    <row r="1290" spans="1:4" x14ac:dyDescent="0.45">
      <c r="A1290" s="7">
        <v>45859</v>
      </c>
      <c r="B1290" t="s">
        <v>97</v>
      </c>
      <c r="C1290" t="s">
        <v>104</v>
      </c>
      <c r="D1290" s="8">
        <v>-63.1</v>
      </c>
    </row>
    <row r="1291" spans="1:4" x14ac:dyDescent="0.45">
      <c r="A1291" s="7">
        <v>46074</v>
      </c>
      <c r="B1291" t="s">
        <v>93</v>
      </c>
      <c r="C1291" t="s">
        <v>106</v>
      </c>
      <c r="D1291" s="8">
        <v>159.72999999999999</v>
      </c>
    </row>
    <row r="1292" spans="1:4" x14ac:dyDescent="0.45">
      <c r="A1292" s="7">
        <v>45429</v>
      </c>
      <c r="B1292" t="s">
        <v>93</v>
      </c>
      <c r="C1292" t="s">
        <v>94</v>
      </c>
      <c r="D1292" s="8">
        <v>435.08</v>
      </c>
    </row>
    <row r="1293" spans="1:4" x14ac:dyDescent="0.45">
      <c r="A1293" s="7">
        <v>45543</v>
      </c>
      <c r="B1293" t="s">
        <v>97</v>
      </c>
      <c r="C1293" t="s">
        <v>98</v>
      </c>
      <c r="D1293" s="8">
        <v>316</v>
      </c>
    </row>
    <row r="1294" spans="1:4" x14ac:dyDescent="0.45">
      <c r="A1294" s="7">
        <v>45448</v>
      </c>
      <c r="B1294" t="s">
        <v>97</v>
      </c>
      <c r="C1294" t="s">
        <v>98</v>
      </c>
      <c r="D1294" s="8">
        <v>443.28</v>
      </c>
    </row>
    <row r="1295" spans="1:4" x14ac:dyDescent="0.45">
      <c r="A1295" s="7">
        <v>46136</v>
      </c>
      <c r="B1295" t="s">
        <v>95</v>
      </c>
      <c r="C1295" t="s">
        <v>105</v>
      </c>
      <c r="D1295" s="8">
        <v>238.33</v>
      </c>
    </row>
    <row r="1296" spans="1:4" x14ac:dyDescent="0.45">
      <c r="A1296" s="7">
        <v>45319</v>
      </c>
      <c r="B1296" t="s">
        <v>97</v>
      </c>
      <c r="C1296" t="s">
        <v>107</v>
      </c>
      <c r="D1296" s="8">
        <v>168.42</v>
      </c>
    </row>
    <row r="1297" spans="1:4" x14ac:dyDescent="0.45">
      <c r="A1297" s="7">
        <v>46072</v>
      </c>
      <c r="B1297" t="s">
        <v>97</v>
      </c>
      <c r="C1297" t="s">
        <v>104</v>
      </c>
      <c r="D1297" s="8">
        <v>15.74</v>
      </c>
    </row>
    <row r="1298" spans="1:4" x14ac:dyDescent="0.45">
      <c r="A1298" s="7">
        <v>45748</v>
      </c>
      <c r="B1298" t="s">
        <v>93</v>
      </c>
      <c r="C1298" t="s">
        <v>106</v>
      </c>
      <c r="D1298" s="8">
        <v>28.18</v>
      </c>
    </row>
    <row r="1299" spans="1:4" x14ac:dyDescent="0.45">
      <c r="A1299" s="7">
        <v>45340</v>
      </c>
      <c r="B1299" t="s">
        <v>93</v>
      </c>
      <c r="C1299" t="s">
        <v>106</v>
      </c>
      <c r="D1299" s="8">
        <v>286.66000000000003</v>
      </c>
    </row>
    <row r="1300" spans="1:4" x14ac:dyDescent="0.45">
      <c r="A1300" s="7">
        <v>45558</v>
      </c>
      <c r="B1300" t="s">
        <v>93</v>
      </c>
      <c r="C1300" t="s">
        <v>103</v>
      </c>
      <c r="D1300" s="8">
        <v>-9.1300000000000008</v>
      </c>
    </row>
    <row r="1301" spans="1:4" x14ac:dyDescent="0.45">
      <c r="A1301" s="7">
        <v>46070</v>
      </c>
      <c r="B1301" t="s">
        <v>93</v>
      </c>
      <c r="C1301" t="s">
        <v>94</v>
      </c>
      <c r="D1301" s="8">
        <v>145.28</v>
      </c>
    </row>
    <row r="1302" spans="1:4" x14ac:dyDescent="0.45">
      <c r="A1302" s="7">
        <v>45621</v>
      </c>
      <c r="B1302" t="s">
        <v>93</v>
      </c>
      <c r="C1302" t="s">
        <v>94</v>
      </c>
      <c r="D1302" s="8">
        <v>147.55000000000001</v>
      </c>
    </row>
    <row r="1303" spans="1:4" x14ac:dyDescent="0.45">
      <c r="A1303" s="7">
        <v>45710</v>
      </c>
      <c r="B1303" t="s">
        <v>95</v>
      </c>
      <c r="C1303" t="s">
        <v>108</v>
      </c>
      <c r="D1303" s="8">
        <v>-124.06</v>
      </c>
    </row>
    <row r="1304" spans="1:4" x14ac:dyDescent="0.45">
      <c r="A1304" s="7">
        <v>46025</v>
      </c>
      <c r="B1304" t="s">
        <v>93</v>
      </c>
      <c r="C1304" t="s">
        <v>103</v>
      </c>
      <c r="D1304" s="8">
        <v>440.09</v>
      </c>
    </row>
    <row r="1305" spans="1:4" x14ac:dyDescent="0.45">
      <c r="A1305" s="7">
        <v>45460</v>
      </c>
      <c r="B1305" t="s">
        <v>97</v>
      </c>
      <c r="C1305" t="s">
        <v>98</v>
      </c>
      <c r="D1305" s="8">
        <v>194.19</v>
      </c>
    </row>
    <row r="1306" spans="1:4" x14ac:dyDescent="0.45">
      <c r="A1306" s="7">
        <v>45326</v>
      </c>
      <c r="B1306" t="s">
        <v>95</v>
      </c>
      <c r="C1306" t="s">
        <v>99</v>
      </c>
      <c r="D1306" s="8">
        <v>110.31</v>
      </c>
    </row>
    <row r="1307" spans="1:4" x14ac:dyDescent="0.45">
      <c r="A1307" s="7">
        <v>45507</v>
      </c>
      <c r="B1307" t="s">
        <v>95</v>
      </c>
      <c r="C1307" t="s">
        <v>102</v>
      </c>
      <c r="D1307" s="8">
        <v>42.56</v>
      </c>
    </row>
    <row r="1308" spans="1:4" x14ac:dyDescent="0.45">
      <c r="A1308" s="7">
        <v>45816</v>
      </c>
      <c r="B1308" t="s">
        <v>95</v>
      </c>
      <c r="C1308" t="s">
        <v>99</v>
      </c>
      <c r="D1308" s="8">
        <v>318.97000000000003</v>
      </c>
    </row>
    <row r="1309" spans="1:4" x14ac:dyDescent="0.45">
      <c r="A1309" s="7">
        <v>45897</v>
      </c>
      <c r="B1309" t="s">
        <v>95</v>
      </c>
      <c r="C1309" t="s">
        <v>96</v>
      </c>
      <c r="D1309" s="8">
        <v>98.53</v>
      </c>
    </row>
    <row r="1310" spans="1:4" x14ac:dyDescent="0.45">
      <c r="A1310" s="7">
        <v>45764</v>
      </c>
      <c r="B1310" t="s">
        <v>93</v>
      </c>
      <c r="C1310" t="s">
        <v>94</v>
      </c>
      <c r="D1310" s="8">
        <v>83.53</v>
      </c>
    </row>
    <row r="1311" spans="1:4" x14ac:dyDescent="0.45">
      <c r="A1311" s="7">
        <v>45450</v>
      </c>
      <c r="B1311" t="s">
        <v>97</v>
      </c>
      <c r="C1311" t="s">
        <v>104</v>
      </c>
      <c r="D1311" s="8">
        <v>-147.47</v>
      </c>
    </row>
    <row r="1312" spans="1:4" x14ac:dyDescent="0.45">
      <c r="A1312" s="7">
        <v>45722</v>
      </c>
      <c r="B1312" t="s">
        <v>93</v>
      </c>
      <c r="C1312" t="s">
        <v>103</v>
      </c>
      <c r="D1312" s="8">
        <v>177.72</v>
      </c>
    </row>
    <row r="1313" spans="1:4" x14ac:dyDescent="0.45">
      <c r="A1313" s="7">
        <v>45628</v>
      </c>
      <c r="B1313" t="s">
        <v>95</v>
      </c>
      <c r="C1313" t="s">
        <v>99</v>
      </c>
      <c r="D1313" s="8">
        <v>165.76</v>
      </c>
    </row>
    <row r="1314" spans="1:4" x14ac:dyDescent="0.45">
      <c r="A1314" s="7">
        <v>45922</v>
      </c>
      <c r="B1314" t="s">
        <v>93</v>
      </c>
      <c r="C1314" t="s">
        <v>94</v>
      </c>
      <c r="D1314" s="8">
        <v>303.13</v>
      </c>
    </row>
    <row r="1315" spans="1:4" x14ac:dyDescent="0.45">
      <c r="A1315" s="7">
        <v>46027</v>
      </c>
      <c r="B1315" t="s">
        <v>95</v>
      </c>
      <c r="C1315" t="s">
        <v>109</v>
      </c>
      <c r="D1315" s="8">
        <v>123.51</v>
      </c>
    </row>
    <row r="1316" spans="1:4" x14ac:dyDescent="0.45">
      <c r="A1316" s="7">
        <v>45800</v>
      </c>
      <c r="B1316" t="s">
        <v>95</v>
      </c>
      <c r="C1316" t="s">
        <v>102</v>
      </c>
      <c r="D1316" s="8">
        <v>350.81</v>
      </c>
    </row>
    <row r="1317" spans="1:4" x14ac:dyDescent="0.45">
      <c r="A1317" s="7">
        <v>45298</v>
      </c>
      <c r="B1317" t="s">
        <v>93</v>
      </c>
      <c r="C1317" t="s">
        <v>94</v>
      </c>
      <c r="D1317" s="8">
        <v>48.56</v>
      </c>
    </row>
    <row r="1318" spans="1:4" x14ac:dyDescent="0.45">
      <c r="A1318" s="7">
        <v>45634</v>
      </c>
      <c r="B1318" t="s">
        <v>95</v>
      </c>
      <c r="C1318" t="s">
        <v>109</v>
      </c>
      <c r="D1318" s="8">
        <v>-127.05</v>
      </c>
    </row>
    <row r="1319" spans="1:4" x14ac:dyDescent="0.45">
      <c r="A1319" s="7">
        <v>45956</v>
      </c>
      <c r="B1319" t="s">
        <v>97</v>
      </c>
      <c r="C1319" t="s">
        <v>104</v>
      </c>
      <c r="D1319" s="8">
        <v>125.29</v>
      </c>
    </row>
    <row r="1320" spans="1:4" x14ac:dyDescent="0.45">
      <c r="A1320" s="7">
        <v>45716</v>
      </c>
      <c r="B1320" t="s">
        <v>93</v>
      </c>
      <c r="C1320" t="s">
        <v>103</v>
      </c>
      <c r="D1320" s="8">
        <v>-16.920000000000002</v>
      </c>
    </row>
    <row r="1321" spans="1:4" x14ac:dyDescent="0.45">
      <c r="A1321" s="7">
        <v>46103</v>
      </c>
      <c r="B1321" t="s">
        <v>93</v>
      </c>
      <c r="C1321" t="s">
        <v>94</v>
      </c>
      <c r="D1321" s="8">
        <v>108.16</v>
      </c>
    </row>
    <row r="1322" spans="1:4" x14ac:dyDescent="0.45">
      <c r="A1322" s="7">
        <v>46190</v>
      </c>
      <c r="B1322" t="s">
        <v>95</v>
      </c>
      <c r="C1322" t="s">
        <v>105</v>
      </c>
      <c r="D1322" s="8">
        <v>184.01</v>
      </c>
    </row>
    <row r="1323" spans="1:4" x14ac:dyDescent="0.45">
      <c r="A1323" s="7">
        <v>45395</v>
      </c>
      <c r="B1323" t="s">
        <v>93</v>
      </c>
      <c r="C1323" t="s">
        <v>100</v>
      </c>
      <c r="D1323" s="8">
        <v>471.27</v>
      </c>
    </row>
    <row r="1324" spans="1:4" x14ac:dyDescent="0.45">
      <c r="A1324" s="7">
        <v>45504</v>
      </c>
      <c r="B1324" t="s">
        <v>95</v>
      </c>
      <c r="C1324" t="s">
        <v>109</v>
      </c>
      <c r="D1324" s="8">
        <v>367.29</v>
      </c>
    </row>
    <row r="1325" spans="1:4" x14ac:dyDescent="0.45">
      <c r="A1325" s="7">
        <v>45311</v>
      </c>
      <c r="B1325" t="s">
        <v>97</v>
      </c>
      <c r="C1325" t="s">
        <v>107</v>
      </c>
      <c r="D1325" s="8">
        <v>143.59</v>
      </c>
    </row>
    <row r="1326" spans="1:4" x14ac:dyDescent="0.45">
      <c r="A1326" s="7">
        <v>45910</v>
      </c>
      <c r="B1326" t="s">
        <v>95</v>
      </c>
      <c r="C1326" t="s">
        <v>96</v>
      </c>
      <c r="D1326" s="8">
        <v>32.07</v>
      </c>
    </row>
    <row r="1327" spans="1:4" x14ac:dyDescent="0.45">
      <c r="A1327" s="7">
        <v>45721</v>
      </c>
      <c r="B1327" t="s">
        <v>97</v>
      </c>
      <c r="C1327" t="s">
        <v>98</v>
      </c>
      <c r="D1327" s="8">
        <v>425.33</v>
      </c>
    </row>
    <row r="1328" spans="1:4" x14ac:dyDescent="0.45">
      <c r="A1328" s="7">
        <v>45768</v>
      </c>
      <c r="B1328" t="s">
        <v>95</v>
      </c>
      <c r="C1328" t="s">
        <v>109</v>
      </c>
      <c r="D1328" s="8">
        <v>412.78</v>
      </c>
    </row>
    <row r="1329" spans="1:4" x14ac:dyDescent="0.45">
      <c r="A1329" s="7">
        <v>45763</v>
      </c>
      <c r="B1329" t="s">
        <v>95</v>
      </c>
      <c r="C1329" t="s">
        <v>108</v>
      </c>
      <c r="D1329" s="8">
        <v>156</v>
      </c>
    </row>
    <row r="1330" spans="1:4" x14ac:dyDescent="0.45">
      <c r="A1330" s="7">
        <v>46004</v>
      </c>
      <c r="B1330" t="s">
        <v>97</v>
      </c>
      <c r="C1330" t="s">
        <v>104</v>
      </c>
      <c r="D1330" s="8">
        <v>189.94</v>
      </c>
    </row>
    <row r="1331" spans="1:4" x14ac:dyDescent="0.45">
      <c r="A1331" s="7">
        <v>46033</v>
      </c>
      <c r="B1331" t="s">
        <v>95</v>
      </c>
      <c r="C1331" t="s">
        <v>102</v>
      </c>
      <c r="D1331" s="8">
        <v>68.45</v>
      </c>
    </row>
    <row r="1332" spans="1:4" x14ac:dyDescent="0.45">
      <c r="A1332" s="7">
        <v>45978</v>
      </c>
      <c r="B1332" t="s">
        <v>95</v>
      </c>
      <c r="C1332" t="s">
        <v>105</v>
      </c>
      <c r="D1332" s="8">
        <v>212.43</v>
      </c>
    </row>
    <row r="1333" spans="1:4" x14ac:dyDescent="0.45">
      <c r="A1333" s="7">
        <v>46055</v>
      </c>
      <c r="B1333" t="s">
        <v>93</v>
      </c>
      <c r="C1333" t="s">
        <v>106</v>
      </c>
      <c r="D1333" s="8">
        <v>364.6</v>
      </c>
    </row>
    <row r="1334" spans="1:4" x14ac:dyDescent="0.45">
      <c r="A1334" s="7">
        <v>45523</v>
      </c>
      <c r="B1334" t="s">
        <v>93</v>
      </c>
      <c r="C1334" t="s">
        <v>100</v>
      </c>
      <c r="D1334" s="8">
        <v>269.32</v>
      </c>
    </row>
    <row r="1335" spans="1:4" x14ac:dyDescent="0.45">
      <c r="A1335" s="7">
        <v>46177</v>
      </c>
      <c r="B1335" t="s">
        <v>93</v>
      </c>
      <c r="C1335" t="s">
        <v>94</v>
      </c>
      <c r="D1335" s="8">
        <v>288.2</v>
      </c>
    </row>
    <row r="1336" spans="1:4" x14ac:dyDescent="0.45">
      <c r="A1336" s="7">
        <v>46019</v>
      </c>
      <c r="B1336" t="s">
        <v>93</v>
      </c>
      <c r="C1336" t="s">
        <v>94</v>
      </c>
      <c r="D1336" s="8">
        <v>11.99</v>
      </c>
    </row>
    <row r="1337" spans="1:4" x14ac:dyDescent="0.45">
      <c r="A1337" s="7">
        <v>46181</v>
      </c>
      <c r="B1337" t="s">
        <v>97</v>
      </c>
      <c r="C1337" t="s">
        <v>107</v>
      </c>
      <c r="D1337" s="8">
        <v>-111.26</v>
      </c>
    </row>
    <row r="1338" spans="1:4" x14ac:dyDescent="0.45">
      <c r="A1338" s="7">
        <v>45447</v>
      </c>
      <c r="B1338" t="s">
        <v>97</v>
      </c>
      <c r="C1338" t="s">
        <v>104</v>
      </c>
      <c r="D1338" s="8">
        <v>120.91</v>
      </c>
    </row>
    <row r="1339" spans="1:4" x14ac:dyDescent="0.45">
      <c r="A1339" s="7">
        <v>45810</v>
      </c>
      <c r="B1339" t="s">
        <v>97</v>
      </c>
      <c r="C1339" t="s">
        <v>107</v>
      </c>
      <c r="D1339" s="8">
        <v>39.270000000000003</v>
      </c>
    </row>
    <row r="1340" spans="1:4" x14ac:dyDescent="0.45">
      <c r="A1340" s="7">
        <v>45520</v>
      </c>
      <c r="B1340" t="s">
        <v>93</v>
      </c>
      <c r="C1340" t="s">
        <v>103</v>
      </c>
      <c r="D1340" s="8">
        <v>394.15</v>
      </c>
    </row>
    <row r="1341" spans="1:4" x14ac:dyDescent="0.45">
      <c r="A1341" s="7">
        <v>45665</v>
      </c>
      <c r="B1341" t="s">
        <v>93</v>
      </c>
      <c r="C1341" t="s">
        <v>103</v>
      </c>
      <c r="D1341" s="8">
        <v>-82.76</v>
      </c>
    </row>
    <row r="1342" spans="1:4" x14ac:dyDescent="0.45">
      <c r="A1342" s="7">
        <v>45580</v>
      </c>
      <c r="B1342" t="s">
        <v>93</v>
      </c>
      <c r="C1342" t="s">
        <v>100</v>
      </c>
      <c r="D1342" s="8">
        <v>6.95</v>
      </c>
    </row>
    <row r="1343" spans="1:4" x14ac:dyDescent="0.45">
      <c r="A1343" s="7">
        <v>45653</v>
      </c>
      <c r="B1343" t="s">
        <v>97</v>
      </c>
      <c r="C1343" t="s">
        <v>101</v>
      </c>
      <c r="D1343" s="8">
        <v>-137.86000000000001</v>
      </c>
    </row>
    <row r="1344" spans="1:4" x14ac:dyDescent="0.45">
      <c r="A1344" s="7">
        <v>45925</v>
      </c>
      <c r="B1344" t="s">
        <v>93</v>
      </c>
      <c r="C1344" t="s">
        <v>103</v>
      </c>
      <c r="D1344" s="8">
        <v>-144.07</v>
      </c>
    </row>
    <row r="1345" spans="1:4" x14ac:dyDescent="0.45">
      <c r="A1345" s="7">
        <v>45960</v>
      </c>
      <c r="B1345" t="s">
        <v>93</v>
      </c>
      <c r="C1345" t="s">
        <v>100</v>
      </c>
      <c r="D1345" s="8">
        <v>57.25</v>
      </c>
    </row>
    <row r="1346" spans="1:4" x14ac:dyDescent="0.45">
      <c r="A1346" s="7">
        <v>45747</v>
      </c>
      <c r="B1346" t="s">
        <v>97</v>
      </c>
      <c r="C1346" t="s">
        <v>107</v>
      </c>
      <c r="D1346" s="8">
        <v>-138.12</v>
      </c>
    </row>
    <row r="1347" spans="1:4" x14ac:dyDescent="0.45">
      <c r="A1347" s="7">
        <v>45499</v>
      </c>
      <c r="B1347" t="s">
        <v>95</v>
      </c>
      <c r="C1347" t="s">
        <v>109</v>
      </c>
      <c r="D1347" s="8">
        <v>270.06</v>
      </c>
    </row>
    <row r="1348" spans="1:4" x14ac:dyDescent="0.45">
      <c r="A1348" s="7">
        <v>45513</v>
      </c>
      <c r="B1348" t="s">
        <v>93</v>
      </c>
      <c r="C1348" t="s">
        <v>100</v>
      </c>
      <c r="D1348" s="8">
        <v>339.28</v>
      </c>
    </row>
    <row r="1349" spans="1:4" x14ac:dyDescent="0.45">
      <c r="A1349" s="7">
        <v>45495</v>
      </c>
      <c r="B1349" t="s">
        <v>95</v>
      </c>
      <c r="C1349" t="s">
        <v>105</v>
      </c>
      <c r="D1349" s="8">
        <v>139.72</v>
      </c>
    </row>
    <row r="1350" spans="1:4" x14ac:dyDescent="0.45">
      <c r="A1350" s="7">
        <v>45463</v>
      </c>
      <c r="B1350" t="s">
        <v>95</v>
      </c>
      <c r="C1350" t="s">
        <v>96</v>
      </c>
      <c r="D1350" s="8">
        <v>31.08</v>
      </c>
    </row>
    <row r="1351" spans="1:4" x14ac:dyDescent="0.45">
      <c r="A1351" s="7">
        <v>45759</v>
      </c>
      <c r="B1351" t="s">
        <v>93</v>
      </c>
      <c r="C1351" t="s">
        <v>100</v>
      </c>
      <c r="D1351" s="8">
        <v>235.8</v>
      </c>
    </row>
    <row r="1352" spans="1:4" x14ac:dyDescent="0.45">
      <c r="A1352" s="7">
        <v>45789</v>
      </c>
      <c r="B1352" t="s">
        <v>97</v>
      </c>
      <c r="C1352" t="s">
        <v>98</v>
      </c>
      <c r="D1352" s="8">
        <v>447.23</v>
      </c>
    </row>
    <row r="1353" spans="1:4" x14ac:dyDescent="0.45">
      <c r="A1353" s="7">
        <v>46180</v>
      </c>
      <c r="B1353" t="s">
        <v>97</v>
      </c>
      <c r="C1353" t="s">
        <v>107</v>
      </c>
      <c r="D1353" s="8">
        <v>318.44</v>
      </c>
    </row>
    <row r="1354" spans="1:4" x14ac:dyDescent="0.45">
      <c r="A1354" s="7">
        <v>45929</v>
      </c>
      <c r="B1354" t="s">
        <v>97</v>
      </c>
      <c r="C1354" t="s">
        <v>104</v>
      </c>
      <c r="D1354" s="8">
        <v>377.08</v>
      </c>
    </row>
    <row r="1355" spans="1:4" x14ac:dyDescent="0.45">
      <c r="A1355" s="7">
        <v>45350</v>
      </c>
      <c r="B1355" t="s">
        <v>95</v>
      </c>
      <c r="C1355" t="s">
        <v>109</v>
      </c>
      <c r="D1355" s="8">
        <v>-49.82</v>
      </c>
    </row>
    <row r="1356" spans="1:4" x14ac:dyDescent="0.45">
      <c r="A1356" s="7">
        <v>45796</v>
      </c>
      <c r="B1356" t="s">
        <v>93</v>
      </c>
      <c r="C1356" t="s">
        <v>100</v>
      </c>
      <c r="D1356" s="8">
        <v>-99.64</v>
      </c>
    </row>
    <row r="1357" spans="1:4" x14ac:dyDescent="0.45">
      <c r="A1357" s="7">
        <v>45621</v>
      </c>
      <c r="B1357" t="s">
        <v>97</v>
      </c>
      <c r="C1357" t="s">
        <v>98</v>
      </c>
      <c r="D1357" s="8">
        <v>88.24</v>
      </c>
    </row>
    <row r="1358" spans="1:4" x14ac:dyDescent="0.45">
      <c r="A1358" s="7">
        <v>45533</v>
      </c>
      <c r="B1358" t="s">
        <v>93</v>
      </c>
      <c r="C1358" t="s">
        <v>100</v>
      </c>
      <c r="D1358" s="8">
        <v>427.54</v>
      </c>
    </row>
    <row r="1359" spans="1:4" x14ac:dyDescent="0.45">
      <c r="A1359" s="7">
        <v>46101</v>
      </c>
      <c r="B1359" t="s">
        <v>93</v>
      </c>
      <c r="C1359" t="s">
        <v>94</v>
      </c>
      <c r="D1359" s="8">
        <v>-97.86</v>
      </c>
    </row>
    <row r="1360" spans="1:4" x14ac:dyDescent="0.45">
      <c r="A1360" s="7">
        <v>45314</v>
      </c>
      <c r="B1360" t="s">
        <v>97</v>
      </c>
      <c r="C1360" t="s">
        <v>104</v>
      </c>
      <c r="D1360" s="8">
        <v>396.98</v>
      </c>
    </row>
    <row r="1361" spans="1:4" x14ac:dyDescent="0.45">
      <c r="A1361" s="7">
        <v>45729</v>
      </c>
      <c r="B1361" t="s">
        <v>97</v>
      </c>
      <c r="C1361" t="s">
        <v>101</v>
      </c>
      <c r="D1361" s="8">
        <v>481.49</v>
      </c>
    </row>
    <row r="1362" spans="1:4" x14ac:dyDescent="0.45">
      <c r="A1362" s="7">
        <v>45727</v>
      </c>
      <c r="B1362" t="s">
        <v>97</v>
      </c>
      <c r="C1362" t="s">
        <v>104</v>
      </c>
      <c r="D1362" s="8">
        <v>356.38</v>
      </c>
    </row>
    <row r="1363" spans="1:4" x14ac:dyDescent="0.45">
      <c r="A1363" s="7">
        <v>45440</v>
      </c>
      <c r="B1363" t="s">
        <v>95</v>
      </c>
      <c r="C1363" t="s">
        <v>108</v>
      </c>
      <c r="D1363" s="8">
        <v>0.11</v>
      </c>
    </row>
    <row r="1364" spans="1:4" x14ac:dyDescent="0.45">
      <c r="A1364" s="7">
        <v>45704</v>
      </c>
      <c r="B1364" t="s">
        <v>95</v>
      </c>
      <c r="C1364" t="s">
        <v>99</v>
      </c>
      <c r="D1364" s="8">
        <v>334.77</v>
      </c>
    </row>
    <row r="1365" spans="1:4" x14ac:dyDescent="0.45">
      <c r="A1365" s="7">
        <v>45559</v>
      </c>
      <c r="B1365" t="s">
        <v>93</v>
      </c>
      <c r="C1365" t="s">
        <v>94</v>
      </c>
      <c r="D1365" s="8">
        <v>448.7</v>
      </c>
    </row>
    <row r="1366" spans="1:4" x14ac:dyDescent="0.45">
      <c r="A1366" s="7">
        <v>46118</v>
      </c>
      <c r="B1366" t="s">
        <v>95</v>
      </c>
      <c r="C1366" t="s">
        <v>109</v>
      </c>
      <c r="D1366" s="8">
        <v>407</v>
      </c>
    </row>
    <row r="1367" spans="1:4" x14ac:dyDescent="0.45">
      <c r="A1367" s="7">
        <v>45511</v>
      </c>
      <c r="B1367" t="s">
        <v>93</v>
      </c>
      <c r="C1367" t="s">
        <v>94</v>
      </c>
      <c r="D1367" s="8">
        <v>92.06</v>
      </c>
    </row>
    <row r="1368" spans="1:4" x14ac:dyDescent="0.45">
      <c r="A1368" s="7">
        <v>46080</v>
      </c>
      <c r="B1368" t="s">
        <v>93</v>
      </c>
      <c r="C1368" t="s">
        <v>106</v>
      </c>
      <c r="D1368" s="8">
        <v>391.36</v>
      </c>
    </row>
    <row r="1369" spans="1:4" x14ac:dyDescent="0.45">
      <c r="A1369" s="7">
        <v>45372</v>
      </c>
      <c r="B1369" t="s">
        <v>95</v>
      </c>
      <c r="C1369" t="s">
        <v>105</v>
      </c>
      <c r="D1369" s="8">
        <v>7.43</v>
      </c>
    </row>
    <row r="1370" spans="1:4" x14ac:dyDescent="0.45">
      <c r="A1370" s="7">
        <v>45749</v>
      </c>
      <c r="B1370" t="s">
        <v>93</v>
      </c>
      <c r="C1370" t="s">
        <v>100</v>
      </c>
      <c r="D1370" s="8">
        <v>-107.19</v>
      </c>
    </row>
    <row r="1371" spans="1:4" x14ac:dyDescent="0.45">
      <c r="A1371" s="7">
        <v>45654</v>
      </c>
      <c r="B1371" t="s">
        <v>97</v>
      </c>
      <c r="C1371" t="s">
        <v>107</v>
      </c>
      <c r="D1371" s="8">
        <v>-143.25</v>
      </c>
    </row>
    <row r="1372" spans="1:4" x14ac:dyDescent="0.45">
      <c r="A1372" s="7">
        <v>45852</v>
      </c>
      <c r="B1372" t="s">
        <v>95</v>
      </c>
      <c r="C1372" t="s">
        <v>108</v>
      </c>
      <c r="D1372" s="8">
        <v>162.25</v>
      </c>
    </row>
    <row r="1373" spans="1:4" x14ac:dyDescent="0.45">
      <c r="A1373" s="7">
        <v>45733</v>
      </c>
      <c r="B1373" t="s">
        <v>97</v>
      </c>
      <c r="C1373" t="s">
        <v>104</v>
      </c>
      <c r="D1373" s="8">
        <v>61.73</v>
      </c>
    </row>
    <row r="1374" spans="1:4" x14ac:dyDescent="0.45">
      <c r="A1374" s="7">
        <v>45975</v>
      </c>
      <c r="B1374" t="s">
        <v>95</v>
      </c>
      <c r="C1374" t="s">
        <v>96</v>
      </c>
      <c r="D1374" s="8">
        <v>-122.23</v>
      </c>
    </row>
    <row r="1375" spans="1:4" x14ac:dyDescent="0.45">
      <c r="A1375" s="7">
        <v>45587</v>
      </c>
      <c r="B1375" t="s">
        <v>95</v>
      </c>
      <c r="C1375" t="s">
        <v>108</v>
      </c>
      <c r="D1375" s="8">
        <v>60.83</v>
      </c>
    </row>
    <row r="1376" spans="1:4" x14ac:dyDescent="0.45">
      <c r="A1376" s="7">
        <v>45608</v>
      </c>
      <c r="B1376" t="s">
        <v>97</v>
      </c>
      <c r="C1376" t="s">
        <v>98</v>
      </c>
      <c r="D1376" s="8">
        <v>450.88</v>
      </c>
    </row>
    <row r="1377" spans="1:4" x14ac:dyDescent="0.45">
      <c r="A1377" s="7">
        <v>45527</v>
      </c>
      <c r="B1377" t="s">
        <v>97</v>
      </c>
      <c r="C1377" t="s">
        <v>101</v>
      </c>
      <c r="D1377" s="8">
        <v>303.20999999999998</v>
      </c>
    </row>
    <row r="1378" spans="1:4" x14ac:dyDescent="0.45">
      <c r="A1378" s="7">
        <v>45673</v>
      </c>
      <c r="B1378" t="s">
        <v>93</v>
      </c>
      <c r="C1378" t="s">
        <v>106</v>
      </c>
      <c r="D1378" s="8">
        <v>314.89</v>
      </c>
    </row>
    <row r="1379" spans="1:4" x14ac:dyDescent="0.45">
      <c r="A1379" s="7">
        <v>45726</v>
      </c>
      <c r="B1379" t="s">
        <v>97</v>
      </c>
      <c r="C1379" t="s">
        <v>107</v>
      </c>
      <c r="D1379" s="8">
        <v>472.63</v>
      </c>
    </row>
    <row r="1380" spans="1:4" x14ac:dyDescent="0.45">
      <c r="A1380" s="7">
        <v>45736</v>
      </c>
      <c r="B1380" t="s">
        <v>93</v>
      </c>
      <c r="C1380" t="s">
        <v>103</v>
      </c>
      <c r="D1380" s="8">
        <v>-50.53</v>
      </c>
    </row>
    <row r="1381" spans="1:4" x14ac:dyDescent="0.45">
      <c r="A1381" s="7">
        <v>45995</v>
      </c>
      <c r="B1381" t="s">
        <v>97</v>
      </c>
      <c r="C1381" t="s">
        <v>104</v>
      </c>
      <c r="D1381" s="8">
        <v>135.58000000000001</v>
      </c>
    </row>
    <row r="1382" spans="1:4" x14ac:dyDescent="0.45">
      <c r="A1382" s="7">
        <v>46185</v>
      </c>
      <c r="B1382" t="s">
        <v>93</v>
      </c>
      <c r="C1382" t="s">
        <v>103</v>
      </c>
      <c r="D1382" s="8">
        <v>183.82</v>
      </c>
    </row>
    <row r="1383" spans="1:4" x14ac:dyDescent="0.45">
      <c r="A1383" s="7">
        <v>45750</v>
      </c>
      <c r="B1383" t="s">
        <v>95</v>
      </c>
      <c r="C1383" t="s">
        <v>109</v>
      </c>
      <c r="D1383" s="8">
        <v>70.77</v>
      </c>
    </row>
    <row r="1384" spans="1:4" x14ac:dyDescent="0.45">
      <c r="A1384" s="7">
        <v>45412</v>
      </c>
      <c r="B1384" t="s">
        <v>97</v>
      </c>
      <c r="C1384" t="s">
        <v>101</v>
      </c>
      <c r="D1384" s="8">
        <v>379.93</v>
      </c>
    </row>
    <row r="1385" spans="1:4" x14ac:dyDescent="0.45">
      <c r="A1385" s="7">
        <v>45967</v>
      </c>
      <c r="B1385" t="s">
        <v>93</v>
      </c>
      <c r="C1385" t="s">
        <v>100</v>
      </c>
      <c r="D1385" s="8">
        <v>-134</v>
      </c>
    </row>
    <row r="1386" spans="1:4" x14ac:dyDescent="0.45">
      <c r="A1386" s="7">
        <v>46053</v>
      </c>
      <c r="B1386" t="s">
        <v>97</v>
      </c>
      <c r="C1386" t="s">
        <v>101</v>
      </c>
      <c r="D1386" s="8">
        <v>352.01</v>
      </c>
    </row>
    <row r="1387" spans="1:4" x14ac:dyDescent="0.45">
      <c r="A1387" s="7">
        <v>45900</v>
      </c>
      <c r="B1387" t="s">
        <v>97</v>
      </c>
      <c r="C1387" t="s">
        <v>107</v>
      </c>
      <c r="D1387" s="8">
        <v>157.41999999999999</v>
      </c>
    </row>
    <row r="1388" spans="1:4" x14ac:dyDescent="0.45">
      <c r="A1388" s="7">
        <v>45727</v>
      </c>
      <c r="B1388" t="s">
        <v>95</v>
      </c>
      <c r="C1388" t="s">
        <v>96</v>
      </c>
      <c r="D1388" s="8">
        <v>390.53</v>
      </c>
    </row>
    <row r="1389" spans="1:4" x14ac:dyDescent="0.45">
      <c r="A1389" s="7">
        <v>45360</v>
      </c>
      <c r="B1389" t="s">
        <v>95</v>
      </c>
      <c r="C1389" t="s">
        <v>99</v>
      </c>
      <c r="D1389" s="8">
        <v>389.94</v>
      </c>
    </row>
    <row r="1390" spans="1:4" x14ac:dyDescent="0.45">
      <c r="A1390" s="7">
        <v>45537</v>
      </c>
      <c r="B1390" t="s">
        <v>97</v>
      </c>
      <c r="C1390" t="s">
        <v>107</v>
      </c>
      <c r="D1390" s="8">
        <v>307.57</v>
      </c>
    </row>
    <row r="1391" spans="1:4" x14ac:dyDescent="0.45">
      <c r="A1391" s="7">
        <v>45669</v>
      </c>
      <c r="B1391" t="s">
        <v>97</v>
      </c>
      <c r="C1391" t="s">
        <v>107</v>
      </c>
      <c r="D1391" s="8">
        <v>319.67</v>
      </c>
    </row>
    <row r="1392" spans="1:4" x14ac:dyDescent="0.45">
      <c r="A1392" s="7">
        <v>45494</v>
      </c>
      <c r="B1392" t="s">
        <v>95</v>
      </c>
      <c r="C1392" t="s">
        <v>102</v>
      </c>
      <c r="D1392" s="8">
        <v>-77.680000000000007</v>
      </c>
    </row>
    <row r="1393" spans="1:4" x14ac:dyDescent="0.45">
      <c r="A1393" s="7">
        <v>45879</v>
      </c>
      <c r="B1393" t="s">
        <v>97</v>
      </c>
      <c r="C1393" t="s">
        <v>98</v>
      </c>
      <c r="D1393" s="8">
        <v>402.4</v>
      </c>
    </row>
    <row r="1394" spans="1:4" x14ac:dyDescent="0.45">
      <c r="A1394" s="7">
        <v>45527</v>
      </c>
      <c r="B1394" t="s">
        <v>97</v>
      </c>
      <c r="C1394" t="s">
        <v>107</v>
      </c>
      <c r="D1394" s="8">
        <v>99.28</v>
      </c>
    </row>
    <row r="1395" spans="1:4" x14ac:dyDescent="0.45">
      <c r="A1395" s="7">
        <v>45847</v>
      </c>
      <c r="B1395" t="s">
        <v>97</v>
      </c>
      <c r="C1395" t="s">
        <v>98</v>
      </c>
      <c r="D1395" s="8">
        <v>-12.54</v>
      </c>
    </row>
    <row r="1396" spans="1:4" x14ac:dyDescent="0.45">
      <c r="A1396" s="7">
        <v>45476</v>
      </c>
      <c r="B1396" t="s">
        <v>93</v>
      </c>
      <c r="C1396" t="s">
        <v>94</v>
      </c>
      <c r="D1396" s="8">
        <v>-84.51</v>
      </c>
    </row>
    <row r="1397" spans="1:4" x14ac:dyDescent="0.45">
      <c r="A1397" s="7">
        <v>46159</v>
      </c>
      <c r="B1397" t="s">
        <v>95</v>
      </c>
      <c r="C1397" t="s">
        <v>109</v>
      </c>
      <c r="D1397" s="8">
        <v>108.75</v>
      </c>
    </row>
    <row r="1398" spans="1:4" x14ac:dyDescent="0.45">
      <c r="A1398" s="7">
        <v>46162</v>
      </c>
      <c r="B1398" t="s">
        <v>97</v>
      </c>
      <c r="C1398" t="s">
        <v>101</v>
      </c>
      <c r="D1398" s="8">
        <v>383.84</v>
      </c>
    </row>
    <row r="1399" spans="1:4" x14ac:dyDescent="0.45">
      <c r="A1399" s="7">
        <v>45712</v>
      </c>
      <c r="B1399" t="s">
        <v>97</v>
      </c>
      <c r="C1399" t="s">
        <v>107</v>
      </c>
      <c r="D1399" s="8">
        <v>181.01</v>
      </c>
    </row>
    <row r="1400" spans="1:4" x14ac:dyDescent="0.45">
      <c r="A1400" s="7">
        <v>45497</v>
      </c>
      <c r="B1400" t="s">
        <v>93</v>
      </c>
      <c r="C1400" t="s">
        <v>106</v>
      </c>
      <c r="D1400" s="8">
        <v>-42.99</v>
      </c>
    </row>
    <row r="1401" spans="1:4" x14ac:dyDescent="0.45">
      <c r="A1401" s="7">
        <v>46050</v>
      </c>
      <c r="B1401" t="s">
        <v>93</v>
      </c>
      <c r="C1401" t="s">
        <v>103</v>
      </c>
      <c r="D1401" s="8">
        <v>278.29000000000002</v>
      </c>
    </row>
    <row r="1402" spans="1:4" x14ac:dyDescent="0.45">
      <c r="A1402" s="7">
        <v>45581</v>
      </c>
      <c r="B1402" t="s">
        <v>97</v>
      </c>
      <c r="C1402" t="s">
        <v>107</v>
      </c>
      <c r="D1402" s="8">
        <v>-65.25</v>
      </c>
    </row>
    <row r="1403" spans="1:4" x14ac:dyDescent="0.45">
      <c r="A1403" s="7">
        <v>45677</v>
      </c>
      <c r="B1403" t="s">
        <v>95</v>
      </c>
      <c r="C1403" t="s">
        <v>109</v>
      </c>
      <c r="D1403" s="8">
        <v>95.39</v>
      </c>
    </row>
    <row r="1404" spans="1:4" x14ac:dyDescent="0.45">
      <c r="A1404" s="7">
        <v>45898</v>
      </c>
      <c r="B1404" t="s">
        <v>95</v>
      </c>
      <c r="C1404" t="s">
        <v>108</v>
      </c>
      <c r="D1404" s="8">
        <v>-12.09</v>
      </c>
    </row>
    <row r="1405" spans="1:4" x14ac:dyDescent="0.45">
      <c r="A1405" s="7">
        <v>45480</v>
      </c>
      <c r="B1405" t="s">
        <v>93</v>
      </c>
      <c r="C1405" t="s">
        <v>94</v>
      </c>
      <c r="D1405" s="8">
        <v>69.22</v>
      </c>
    </row>
    <row r="1406" spans="1:4" x14ac:dyDescent="0.45">
      <c r="A1406" s="7">
        <v>46178</v>
      </c>
      <c r="B1406" t="s">
        <v>95</v>
      </c>
      <c r="C1406" t="s">
        <v>109</v>
      </c>
      <c r="D1406" s="8">
        <v>304.88</v>
      </c>
    </row>
    <row r="1407" spans="1:4" x14ac:dyDescent="0.45">
      <c r="A1407" s="7">
        <v>45393</v>
      </c>
      <c r="B1407" t="s">
        <v>95</v>
      </c>
      <c r="C1407" t="s">
        <v>102</v>
      </c>
      <c r="D1407" s="8">
        <v>138.75</v>
      </c>
    </row>
    <row r="1408" spans="1:4" x14ac:dyDescent="0.45">
      <c r="A1408" s="7">
        <v>45776</v>
      </c>
      <c r="B1408" t="s">
        <v>97</v>
      </c>
      <c r="C1408" t="s">
        <v>104</v>
      </c>
      <c r="D1408" s="8">
        <v>177.29</v>
      </c>
    </row>
    <row r="1409" spans="1:4" x14ac:dyDescent="0.45">
      <c r="A1409" s="7">
        <v>45780</v>
      </c>
      <c r="B1409" t="s">
        <v>97</v>
      </c>
      <c r="C1409" t="s">
        <v>101</v>
      </c>
      <c r="D1409" s="8">
        <v>51.69</v>
      </c>
    </row>
    <row r="1410" spans="1:4" x14ac:dyDescent="0.45">
      <c r="A1410" s="7">
        <v>45368</v>
      </c>
      <c r="B1410" t="s">
        <v>95</v>
      </c>
      <c r="C1410" t="s">
        <v>108</v>
      </c>
      <c r="D1410" s="8">
        <v>312.37</v>
      </c>
    </row>
    <row r="1411" spans="1:4" x14ac:dyDescent="0.45">
      <c r="A1411" s="7">
        <v>45786</v>
      </c>
      <c r="B1411" t="s">
        <v>97</v>
      </c>
      <c r="C1411" t="s">
        <v>104</v>
      </c>
      <c r="D1411" s="8">
        <v>459.82</v>
      </c>
    </row>
    <row r="1412" spans="1:4" x14ac:dyDescent="0.45">
      <c r="A1412" s="7">
        <v>46093</v>
      </c>
      <c r="B1412" t="s">
        <v>93</v>
      </c>
      <c r="C1412" t="s">
        <v>94</v>
      </c>
      <c r="D1412" s="8">
        <v>165.46</v>
      </c>
    </row>
    <row r="1413" spans="1:4" x14ac:dyDescent="0.45">
      <c r="A1413" s="7">
        <v>45308</v>
      </c>
      <c r="B1413" t="s">
        <v>97</v>
      </c>
      <c r="C1413" t="s">
        <v>101</v>
      </c>
      <c r="D1413" s="8">
        <v>496.89</v>
      </c>
    </row>
    <row r="1414" spans="1:4" x14ac:dyDescent="0.45">
      <c r="A1414" s="7">
        <v>45738</v>
      </c>
      <c r="B1414" t="s">
        <v>95</v>
      </c>
      <c r="C1414" t="s">
        <v>96</v>
      </c>
      <c r="D1414" s="8">
        <v>427.42</v>
      </c>
    </row>
    <row r="1415" spans="1:4" x14ac:dyDescent="0.45">
      <c r="A1415" s="7">
        <v>45907</v>
      </c>
      <c r="B1415" t="s">
        <v>97</v>
      </c>
      <c r="C1415" t="s">
        <v>101</v>
      </c>
      <c r="D1415" s="8">
        <v>439.37</v>
      </c>
    </row>
    <row r="1416" spans="1:4" x14ac:dyDescent="0.45">
      <c r="A1416" s="7">
        <v>45828</v>
      </c>
      <c r="B1416" t="s">
        <v>95</v>
      </c>
      <c r="C1416" t="s">
        <v>99</v>
      </c>
      <c r="D1416" s="8">
        <v>349.86</v>
      </c>
    </row>
    <row r="1417" spans="1:4" x14ac:dyDescent="0.45">
      <c r="A1417" s="7">
        <v>45549</v>
      </c>
      <c r="B1417" t="s">
        <v>95</v>
      </c>
      <c r="C1417" t="s">
        <v>102</v>
      </c>
      <c r="D1417" s="8">
        <v>335.59</v>
      </c>
    </row>
    <row r="1418" spans="1:4" x14ac:dyDescent="0.45">
      <c r="A1418" s="7">
        <v>45871</v>
      </c>
      <c r="B1418" t="s">
        <v>95</v>
      </c>
      <c r="C1418" t="s">
        <v>105</v>
      </c>
      <c r="D1418" s="8">
        <v>81.59</v>
      </c>
    </row>
    <row r="1419" spans="1:4" x14ac:dyDescent="0.45">
      <c r="A1419" s="7">
        <v>45500</v>
      </c>
      <c r="B1419" t="s">
        <v>95</v>
      </c>
      <c r="C1419" t="s">
        <v>108</v>
      </c>
      <c r="D1419" s="8">
        <v>127.47</v>
      </c>
    </row>
    <row r="1420" spans="1:4" x14ac:dyDescent="0.45">
      <c r="A1420" s="7">
        <v>46089</v>
      </c>
      <c r="B1420" t="s">
        <v>95</v>
      </c>
      <c r="C1420" t="s">
        <v>108</v>
      </c>
      <c r="D1420" s="8">
        <v>427.99</v>
      </c>
    </row>
    <row r="1421" spans="1:4" x14ac:dyDescent="0.45">
      <c r="A1421" s="7">
        <v>46100</v>
      </c>
      <c r="B1421" t="s">
        <v>93</v>
      </c>
      <c r="C1421" t="s">
        <v>94</v>
      </c>
      <c r="D1421" s="8">
        <v>317.89999999999998</v>
      </c>
    </row>
    <row r="1422" spans="1:4" x14ac:dyDescent="0.45">
      <c r="A1422" s="7">
        <v>45435</v>
      </c>
      <c r="B1422" t="s">
        <v>97</v>
      </c>
      <c r="C1422" t="s">
        <v>104</v>
      </c>
      <c r="D1422" s="8">
        <v>190.35</v>
      </c>
    </row>
    <row r="1423" spans="1:4" x14ac:dyDescent="0.45">
      <c r="A1423" s="7">
        <v>45804</v>
      </c>
      <c r="B1423" t="s">
        <v>97</v>
      </c>
      <c r="C1423" t="s">
        <v>101</v>
      </c>
      <c r="D1423" s="8">
        <v>24.81</v>
      </c>
    </row>
    <row r="1424" spans="1:4" x14ac:dyDescent="0.45">
      <c r="A1424" s="7">
        <v>45591</v>
      </c>
      <c r="B1424" t="s">
        <v>93</v>
      </c>
      <c r="C1424" t="s">
        <v>103</v>
      </c>
      <c r="D1424" s="8">
        <v>248.63</v>
      </c>
    </row>
    <row r="1425" spans="1:4" x14ac:dyDescent="0.45">
      <c r="A1425" s="7">
        <v>45419</v>
      </c>
      <c r="B1425" t="s">
        <v>97</v>
      </c>
      <c r="C1425" t="s">
        <v>101</v>
      </c>
      <c r="D1425" s="8">
        <v>413.4</v>
      </c>
    </row>
    <row r="1426" spans="1:4" x14ac:dyDescent="0.45">
      <c r="A1426" s="7">
        <v>45944</v>
      </c>
      <c r="B1426" t="s">
        <v>95</v>
      </c>
      <c r="C1426" t="s">
        <v>105</v>
      </c>
      <c r="D1426" s="8">
        <v>265.70999999999998</v>
      </c>
    </row>
    <row r="1427" spans="1:4" x14ac:dyDescent="0.45">
      <c r="A1427" s="7">
        <v>45606</v>
      </c>
      <c r="B1427" t="s">
        <v>97</v>
      </c>
      <c r="C1427" t="s">
        <v>104</v>
      </c>
      <c r="D1427" s="8">
        <v>76.55</v>
      </c>
    </row>
    <row r="1428" spans="1:4" x14ac:dyDescent="0.45">
      <c r="A1428" s="7">
        <v>45705</v>
      </c>
      <c r="B1428" t="s">
        <v>95</v>
      </c>
      <c r="C1428" t="s">
        <v>108</v>
      </c>
      <c r="D1428" s="8">
        <v>40.369999999999997</v>
      </c>
    </row>
    <row r="1429" spans="1:4" x14ac:dyDescent="0.45">
      <c r="A1429" s="7">
        <v>45365</v>
      </c>
      <c r="B1429" t="s">
        <v>97</v>
      </c>
      <c r="C1429" t="s">
        <v>104</v>
      </c>
      <c r="D1429" s="8">
        <v>418</v>
      </c>
    </row>
    <row r="1430" spans="1:4" x14ac:dyDescent="0.45">
      <c r="A1430" s="7">
        <v>46011</v>
      </c>
      <c r="B1430" t="s">
        <v>95</v>
      </c>
      <c r="C1430" t="s">
        <v>109</v>
      </c>
      <c r="D1430" s="8">
        <v>215.23</v>
      </c>
    </row>
    <row r="1431" spans="1:4" x14ac:dyDescent="0.45">
      <c r="A1431" s="7">
        <v>46142</v>
      </c>
      <c r="B1431" t="s">
        <v>95</v>
      </c>
      <c r="C1431" t="s">
        <v>109</v>
      </c>
      <c r="D1431" s="8">
        <v>224.04</v>
      </c>
    </row>
    <row r="1432" spans="1:4" x14ac:dyDescent="0.45">
      <c r="A1432" s="7">
        <v>45888</v>
      </c>
      <c r="B1432" t="s">
        <v>93</v>
      </c>
      <c r="C1432" t="s">
        <v>103</v>
      </c>
      <c r="D1432" s="8">
        <v>399.6</v>
      </c>
    </row>
    <row r="1433" spans="1:4" x14ac:dyDescent="0.45">
      <c r="A1433" s="7">
        <v>45752</v>
      </c>
      <c r="B1433" t="s">
        <v>95</v>
      </c>
      <c r="C1433" t="s">
        <v>99</v>
      </c>
      <c r="D1433" s="8">
        <v>55.25</v>
      </c>
    </row>
    <row r="1434" spans="1:4" x14ac:dyDescent="0.45">
      <c r="A1434" s="7">
        <v>45605</v>
      </c>
      <c r="B1434" t="s">
        <v>95</v>
      </c>
      <c r="C1434" t="s">
        <v>96</v>
      </c>
      <c r="D1434" s="8">
        <v>25.53</v>
      </c>
    </row>
    <row r="1435" spans="1:4" x14ac:dyDescent="0.45">
      <c r="A1435" s="7">
        <v>45872</v>
      </c>
      <c r="B1435" t="s">
        <v>97</v>
      </c>
      <c r="C1435" t="s">
        <v>104</v>
      </c>
      <c r="D1435" s="8">
        <v>257.94</v>
      </c>
    </row>
    <row r="1436" spans="1:4" x14ac:dyDescent="0.45">
      <c r="A1436" s="7">
        <v>45644</v>
      </c>
      <c r="B1436" t="s">
        <v>93</v>
      </c>
      <c r="C1436" t="s">
        <v>100</v>
      </c>
      <c r="D1436" s="8">
        <v>202.57</v>
      </c>
    </row>
    <row r="1437" spans="1:4" x14ac:dyDescent="0.45">
      <c r="A1437" s="7">
        <v>46079</v>
      </c>
      <c r="B1437" t="s">
        <v>93</v>
      </c>
      <c r="C1437" t="s">
        <v>103</v>
      </c>
      <c r="D1437" s="8">
        <v>344.63</v>
      </c>
    </row>
    <row r="1438" spans="1:4" x14ac:dyDescent="0.45">
      <c r="A1438" s="7">
        <v>45839</v>
      </c>
      <c r="B1438" t="s">
        <v>93</v>
      </c>
      <c r="C1438" t="s">
        <v>94</v>
      </c>
      <c r="D1438" s="8">
        <v>57.64</v>
      </c>
    </row>
    <row r="1439" spans="1:4" x14ac:dyDescent="0.45">
      <c r="A1439" s="7">
        <v>45866</v>
      </c>
      <c r="B1439" t="s">
        <v>95</v>
      </c>
      <c r="C1439" t="s">
        <v>102</v>
      </c>
      <c r="D1439" s="8">
        <v>109.12</v>
      </c>
    </row>
    <row r="1440" spans="1:4" x14ac:dyDescent="0.45">
      <c r="A1440" s="7">
        <v>45838</v>
      </c>
      <c r="B1440" t="s">
        <v>97</v>
      </c>
      <c r="C1440" t="s">
        <v>98</v>
      </c>
      <c r="D1440" s="8">
        <v>-109.37</v>
      </c>
    </row>
    <row r="1441" spans="1:4" x14ac:dyDescent="0.45">
      <c r="A1441" s="7">
        <v>45462</v>
      </c>
      <c r="B1441" t="s">
        <v>97</v>
      </c>
      <c r="C1441" t="s">
        <v>98</v>
      </c>
      <c r="D1441" s="8">
        <v>307.2</v>
      </c>
    </row>
    <row r="1442" spans="1:4" x14ac:dyDescent="0.45">
      <c r="A1442" s="7">
        <v>45807</v>
      </c>
      <c r="B1442" t="s">
        <v>97</v>
      </c>
      <c r="C1442" t="s">
        <v>104</v>
      </c>
      <c r="D1442" s="8">
        <v>-62.84</v>
      </c>
    </row>
    <row r="1443" spans="1:4" x14ac:dyDescent="0.45">
      <c r="A1443" s="7">
        <v>45838</v>
      </c>
      <c r="B1443" t="s">
        <v>97</v>
      </c>
      <c r="C1443" t="s">
        <v>104</v>
      </c>
      <c r="D1443" s="8">
        <v>143.72</v>
      </c>
    </row>
    <row r="1444" spans="1:4" x14ac:dyDescent="0.45">
      <c r="A1444" s="7">
        <v>45935</v>
      </c>
      <c r="B1444" t="s">
        <v>95</v>
      </c>
      <c r="C1444" t="s">
        <v>108</v>
      </c>
      <c r="D1444" s="8">
        <v>181.32</v>
      </c>
    </row>
    <row r="1445" spans="1:4" x14ac:dyDescent="0.45">
      <c r="A1445" s="7">
        <v>45397</v>
      </c>
      <c r="B1445" t="s">
        <v>95</v>
      </c>
      <c r="C1445" t="s">
        <v>105</v>
      </c>
      <c r="D1445" s="8">
        <v>455.16</v>
      </c>
    </row>
    <row r="1446" spans="1:4" x14ac:dyDescent="0.45">
      <c r="A1446" s="7">
        <v>45484</v>
      </c>
      <c r="B1446" t="s">
        <v>93</v>
      </c>
      <c r="C1446" t="s">
        <v>106</v>
      </c>
      <c r="D1446" s="8">
        <v>-43.45</v>
      </c>
    </row>
    <row r="1447" spans="1:4" x14ac:dyDescent="0.45">
      <c r="A1447" s="7">
        <v>46134</v>
      </c>
      <c r="B1447" t="s">
        <v>95</v>
      </c>
      <c r="C1447" t="s">
        <v>105</v>
      </c>
      <c r="D1447" s="8">
        <v>194.6</v>
      </c>
    </row>
    <row r="1448" spans="1:4" x14ac:dyDescent="0.45">
      <c r="A1448" s="7">
        <v>45754</v>
      </c>
      <c r="B1448" t="s">
        <v>93</v>
      </c>
      <c r="C1448" t="s">
        <v>94</v>
      </c>
      <c r="D1448" s="8">
        <v>226.65</v>
      </c>
    </row>
    <row r="1449" spans="1:4" x14ac:dyDescent="0.45">
      <c r="A1449" s="7">
        <v>45960</v>
      </c>
      <c r="B1449" t="s">
        <v>93</v>
      </c>
      <c r="C1449" t="s">
        <v>103</v>
      </c>
      <c r="D1449" s="8">
        <v>265.26</v>
      </c>
    </row>
    <row r="1450" spans="1:4" x14ac:dyDescent="0.45">
      <c r="A1450" s="7">
        <v>45760</v>
      </c>
      <c r="B1450" t="s">
        <v>95</v>
      </c>
      <c r="C1450" t="s">
        <v>105</v>
      </c>
      <c r="D1450" s="8">
        <v>-129.85</v>
      </c>
    </row>
    <row r="1451" spans="1:4" x14ac:dyDescent="0.45">
      <c r="A1451" s="7">
        <v>46150</v>
      </c>
      <c r="B1451" t="s">
        <v>93</v>
      </c>
      <c r="C1451" t="s">
        <v>106</v>
      </c>
      <c r="D1451" s="8">
        <v>250.39</v>
      </c>
    </row>
    <row r="1452" spans="1:4" x14ac:dyDescent="0.45">
      <c r="A1452" s="7">
        <v>46168</v>
      </c>
      <c r="B1452" t="s">
        <v>95</v>
      </c>
      <c r="C1452" t="s">
        <v>105</v>
      </c>
      <c r="D1452" s="8">
        <v>-143.1</v>
      </c>
    </row>
    <row r="1453" spans="1:4" x14ac:dyDescent="0.45">
      <c r="A1453" s="7">
        <v>45970</v>
      </c>
      <c r="B1453" t="s">
        <v>95</v>
      </c>
      <c r="C1453" t="s">
        <v>99</v>
      </c>
      <c r="D1453" s="8">
        <v>489.77</v>
      </c>
    </row>
    <row r="1454" spans="1:4" x14ac:dyDescent="0.45">
      <c r="A1454" s="7">
        <v>45760</v>
      </c>
      <c r="B1454" t="s">
        <v>97</v>
      </c>
      <c r="C1454" t="s">
        <v>98</v>
      </c>
      <c r="D1454" s="8">
        <v>213.17</v>
      </c>
    </row>
    <row r="1455" spans="1:4" x14ac:dyDescent="0.45">
      <c r="A1455" s="7">
        <v>45722</v>
      </c>
      <c r="B1455" t="s">
        <v>95</v>
      </c>
      <c r="C1455" t="s">
        <v>99</v>
      </c>
      <c r="D1455" s="8">
        <v>-36.61</v>
      </c>
    </row>
    <row r="1456" spans="1:4" x14ac:dyDescent="0.45">
      <c r="A1456" s="7">
        <v>45818</v>
      </c>
      <c r="B1456" t="s">
        <v>93</v>
      </c>
      <c r="C1456" t="s">
        <v>103</v>
      </c>
      <c r="D1456" s="8">
        <v>468.06</v>
      </c>
    </row>
    <row r="1457" spans="1:4" x14ac:dyDescent="0.45">
      <c r="A1457" s="7">
        <v>46119</v>
      </c>
      <c r="B1457" t="s">
        <v>95</v>
      </c>
      <c r="C1457" t="s">
        <v>108</v>
      </c>
      <c r="D1457" s="8">
        <v>96.26</v>
      </c>
    </row>
    <row r="1458" spans="1:4" x14ac:dyDescent="0.45">
      <c r="A1458" s="7">
        <v>45419</v>
      </c>
      <c r="B1458" t="s">
        <v>95</v>
      </c>
      <c r="C1458" t="s">
        <v>105</v>
      </c>
      <c r="D1458" s="8">
        <v>-44.54</v>
      </c>
    </row>
    <row r="1459" spans="1:4" x14ac:dyDescent="0.45">
      <c r="A1459" s="7">
        <v>45548</v>
      </c>
      <c r="B1459" t="s">
        <v>95</v>
      </c>
      <c r="C1459" t="s">
        <v>99</v>
      </c>
      <c r="D1459" s="8">
        <v>307.77</v>
      </c>
    </row>
    <row r="1460" spans="1:4" x14ac:dyDescent="0.45">
      <c r="A1460" s="7">
        <v>46027</v>
      </c>
      <c r="B1460" t="s">
        <v>95</v>
      </c>
      <c r="C1460" t="s">
        <v>108</v>
      </c>
      <c r="D1460" s="8">
        <v>487.91</v>
      </c>
    </row>
    <row r="1461" spans="1:4" x14ac:dyDescent="0.45">
      <c r="A1461" s="7">
        <v>45926</v>
      </c>
      <c r="B1461" t="s">
        <v>95</v>
      </c>
      <c r="C1461" t="s">
        <v>102</v>
      </c>
      <c r="D1461" s="8">
        <v>-55.71</v>
      </c>
    </row>
    <row r="1462" spans="1:4" x14ac:dyDescent="0.45">
      <c r="A1462" s="7">
        <v>45904</v>
      </c>
      <c r="B1462" t="s">
        <v>97</v>
      </c>
      <c r="C1462" t="s">
        <v>107</v>
      </c>
      <c r="D1462" s="8">
        <v>202.67</v>
      </c>
    </row>
    <row r="1463" spans="1:4" x14ac:dyDescent="0.45">
      <c r="A1463" s="7">
        <v>45763</v>
      </c>
      <c r="B1463" t="s">
        <v>93</v>
      </c>
      <c r="C1463" t="s">
        <v>94</v>
      </c>
      <c r="D1463" s="8">
        <v>49.73</v>
      </c>
    </row>
    <row r="1464" spans="1:4" x14ac:dyDescent="0.45">
      <c r="A1464" s="7">
        <v>45824</v>
      </c>
      <c r="B1464" t="s">
        <v>97</v>
      </c>
      <c r="C1464" t="s">
        <v>101</v>
      </c>
      <c r="D1464" s="8">
        <v>323.89999999999998</v>
      </c>
    </row>
    <row r="1465" spans="1:4" x14ac:dyDescent="0.45">
      <c r="A1465" s="7">
        <v>45370</v>
      </c>
      <c r="B1465" t="s">
        <v>97</v>
      </c>
      <c r="C1465" t="s">
        <v>101</v>
      </c>
      <c r="D1465" s="8">
        <v>448.96</v>
      </c>
    </row>
    <row r="1466" spans="1:4" x14ac:dyDescent="0.45">
      <c r="A1466" s="7">
        <v>46021</v>
      </c>
      <c r="B1466" t="s">
        <v>97</v>
      </c>
      <c r="C1466" t="s">
        <v>104</v>
      </c>
      <c r="D1466" s="8">
        <v>194.25</v>
      </c>
    </row>
    <row r="1467" spans="1:4" x14ac:dyDescent="0.45">
      <c r="A1467" s="7">
        <v>45692</v>
      </c>
      <c r="B1467" t="s">
        <v>97</v>
      </c>
      <c r="C1467" t="s">
        <v>98</v>
      </c>
      <c r="D1467" s="8">
        <v>-86.08</v>
      </c>
    </row>
    <row r="1468" spans="1:4" x14ac:dyDescent="0.45">
      <c r="A1468" s="7">
        <v>45341</v>
      </c>
      <c r="B1468" t="s">
        <v>95</v>
      </c>
      <c r="C1468" t="s">
        <v>102</v>
      </c>
      <c r="D1468" s="8">
        <v>494.27</v>
      </c>
    </row>
    <row r="1469" spans="1:4" x14ac:dyDescent="0.45">
      <c r="A1469" s="7">
        <v>45686</v>
      </c>
      <c r="B1469" t="s">
        <v>95</v>
      </c>
      <c r="C1469" t="s">
        <v>99</v>
      </c>
      <c r="D1469" s="8">
        <v>232.79</v>
      </c>
    </row>
    <row r="1470" spans="1:4" x14ac:dyDescent="0.45">
      <c r="A1470" s="7">
        <v>46080</v>
      </c>
      <c r="B1470" t="s">
        <v>97</v>
      </c>
      <c r="C1470" t="s">
        <v>107</v>
      </c>
      <c r="D1470" s="8">
        <v>92.03</v>
      </c>
    </row>
    <row r="1471" spans="1:4" x14ac:dyDescent="0.45">
      <c r="A1471" s="7">
        <v>45395</v>
      </c>
      <c r="B1471" t="s">
        <v>93</v>
      </c>
      <c r="C1471" t="s">
        <v>106</v>
      </c>
      <c r="D1471" s="8">
        <v>-148.31</v>
      </c>
    </row>
    <row r="1472" spans="1:4" x14ac:dyDescent="0.45">
      <c r="A1472" s="7">
        <v>45393</v>
      </c>
      <c r="B1472" t="s">
        <v>95</v>
      </c>
      <c r="C1472" t="s">
        <v>96</v>
      </c>
      <c r="D1472" s="8">
        <v>39.49</v>
      </c>
    </row>
    <row r="1473" spans="1:4" x14ac:dyDescent="0.45">
      <c r="A1473" s="7">
        <v>45588</v>
      </c>
      <c r="B1473" t="s">
        <v>97</v>
      </c>
      <c r="C1473" t="s">
        <v>98</v>
      </c>
      <c r="D1473" s="8">
        <v>151.21</v>
      </c>
    </row>
    <row r="1474" spans="1:4" x14ac:dyDescent="0.45">
      <c r="A1474" s="7">
        <v>45902</v>
      </c>
      <c r="B1474" t="s">
        <v>97</v>
      </c>
      <c r="C1474" t="s">
        <v>104</v>
      </c>
      <c r="D1474" s="8">
        <v>447.5</v>
      </c>
    </row>
    <row r="1475" spans="1:4" x14ac:dyDescent="0.45">
      <c r="A1475" s="7">
        <v>45826</v>
      </c>
      <c r="B1475" t="s">
        <v>93</v>
      </c>
      <c r="C1475" t="s">
        <v>106</v>
      </c>
      <c r="D1475" s="8">
        <v>341.05</v>
      </c>
    </row>
    <row r="1476" spans="1:4" x14ac:dyDescent="0.45">
      <c r="A1476" s="7">
        <v>45377</v>
      </c>
      <c r="B1476" t="s">
        <v>95</v>
      </c>
      <c r="C1476" t="s">
        <v>109</v>
      </c>
      <c r="D1476" s="8">
        <v>190.44</v>
      </c>
    </row>
    <row r="1477" spans="1:4" x14ac:dyDescent="0.45">
      <c r="A1477" s="7">
        <v>46135</v>
      </c>
      <c r="B1477" t="s">
        <v>93</v>
      </c>
      <c r="C1477" t="s">
        <v>106</v>
      </c>
      <c r="D1477" s="8">
        <v>278.20999999999998</v>
      </c>
    </row>
    <row r="1478" spans="1:4" x14ac:dyDescent="0.45">
      <c r="A1478" s="7">
        <v>45563</v>
      </c>
      <c r="B1478" t="s">
        <v>93</v>
      </c>
      <c r="C1478" t="s">
        <v>103</v>
      </c>
      <c r="D1478" s="8">
        <v>-83.07</v>
      </c>
    </row>
    <row r="1479" spans="1:4" x14ac:dyDescent="0.45">
      <c r="A1479" s="7">
        <v>45574</v>
      </c>
      <c r="B1479" t="s">
        <v>95</v>
      </c>
      <c r="C1479" t="s">
        <v>109</v>
      </c>
      <c r="D1479" s="8">
        <v>-109.7</v>
      </c>
    </row>
    <row r="1480" spans="1:4" x14ac:dyDescent="0.45">
      <c r="A1480" s="7">
        <v>45363</v>
      </c>
      <c r="B1480" t="s">
        <v>95</v>
      </c>
      <c r="C1480" t="s">
        <v>109</v>
      </c>
      <c r="D1480" s="8">
        <v>250.33</v>
      </c>
    </row>
    <row r="1481" spans="1:4" x14ac:dyDescent="0.45">
      <c r="A1481" s="7">
        <v>45537</v>
      </c>
      <c r="B1481" t="s">
        <v>97</v>
      </c>
      <c r="C1481" t="s">
        <v>98</v>
      </c>
      <c r="D1481" s="8">
        <v>-76.17</v>
      </c>
    </row>
    <row r="1482" spans="1:4" x14ac:dyDescent="0.45">
      <c r="A1482" s="7">
        <v>46119</v>
      </c>
      <c r="B1482" t="s">
        <v>93</v>
      </c>
      <c r="C1482" t="s">
        <v>106</v>
      </c>
      <c r="D1482" s="8">
        <v>50.8</v>
      </c>
    </row>
    <row r="1483" spans="1:4" x14ac:dyDescent="0.45">
      <c r="A1483" s="7">
        <v>45989</v>
      </c>
      <c r="B1483" t="s">
        <v>97</v>
      </c>
      <c r="C1483" t="s">
        <v>107</v>
      </c>
      <c r="D1483" s="8">
        <v>108.29</v>
      </c>
    </row>
    <row r="1484" spans="1:4" x14ac:dyDescent="0.45">
      <c r="A1484" s="7">
        <v>46099</v>
      </c>
      <c r="B1484" t="s">
        <v>97</v>
      </c>
      <c r="C1484" t="s">
        <v>104</v>
      </c>
      <c r="D1484" s="8">
        <v>350.39</v>
      </c>
    </row>
    <row r="1485" spans="1:4" x14ac:dyDescent="0.45">
      <c r="A1485" s="7">
        <v>45439</v>
      </c>
      <c r="B1485" t="s">
        <v>97</v>
      </c>
      <c r="C1485" t="s">
        <v>104</v>
      </c>
      <c r="D1485" s="8">
        <v>-3.67</v>
      </c>
    </row>
    <row r="1486" spans="1:4" x14ac:dyDescent="0.45">
      <c r="A1486" s="7">
        <v>45504</v>
      </c>
      <c r="B1486" t="s">
        <v>97</v>
      </c>
      <c r="C1486" t="s">
        <v>107</v>
      </c>
      <c r="D1486" s="8">
        <v>473.17</v>
      </c>
    </row>
    <row r="1487" spans="1:4" x14ac:dyDescent="0.45">
      <c r="A1487" s="7">
        <v>45298</v>
      </c>
      <c r="B1487" t="s">
        <v>95</v>
      </c>
      <c r="C1487" t="s">
        <v>99</v>
      </c>
      <c r="D1487" s="8">
        <v>161.80000000000001</v>
      </c>
    </row>
    <row r="1488" spans="1:4" x14ac:dyDescent="0.45">
      <c r="A1488" s="7">
        <v>45954</v>
      </c>
      <c r="B1488" t="s">
        <v>95</v>
      </c>
      <c r="C1488" t="s">
        <v>109</v>
      </c>
      <c r="D1488" s="8">
        <v>201.92</v>
      </c>
    </row>
    <row r="1489" spans="1:4" x14ac:dyDescent="0.45">
      <c r="A1489" s="7">
        <v>45977</v>
      </c>
      <c r="B1489" t="s">
        <v>93</v>
      </c>
      <c r="C1489" t="s">
        <v>106</v>
      </c>
      <c r="D1489" s="8">
        <v>164.89</v>
      </c>
    </row>
    <row r="1490" spans="1:4" x14ac:dyDescent="0.45">
      <c r="A1490" s="7">
        <v>46116</v>
      </c>
      <c r="B1490" t="s">
        <v>95</v>
      </c>
      <c r="C1490" t="s">
        <v>96</v>
      </c>
      <c r="D1490" s="8">
        <v>417.07</v>
      </c>
    </row>
    <row r="1491" spans="1:4" x14ac:dyDescent="0.45">
      <c r="A1491" s="7">
        <v>45760</v>
      </c>
      <c r="B1491" t="s">
        <v>97</v>
      </c>
      <c r="C1491" t="s">
        <v>98</v>
      </c>
      <c r="D1491" s="8">
        <v>489.97</v>
      </c>
    </row>
    <row r="1492" spans="1:4" x14ac:dyDescent="0.45">
      <c r="A1492" s="7">
        <v>46003</v>
      </c>
      <c r="B1492" t="s">
        <v>95</v>
      </c>
      <c r="C1492" t="s">
        <v>105</v>
      </c>
      <c r="D1492" s="8">
        <v>-108.74</v>
      </c>
    </row>
    <row r="1493" spans="1:4" x14ac:dyDescent="0.45">
      <c r="A1493" s="7">
        <v>45822</v>
      </c>
      <c r="B1493" t="s">
        <v>97</v>
      </c>
      <c r="C1493" t="s">
        <v>107</v>
      </c>
      <c r="D1493" s="8">
        <v>464.95</v>
      </c>
    </row>
    <row r="1494" spans="1:4" x14ac:dyDescent="0.45">
      <c r="A1494" s="7">
        <v>46087</v>
      </c>
      <c r="B1494" t="s">
        <v>93</v>
      </c>
      <c r="C1494" t="s">
        <v>100</v>
      </c>
      <c r="D1494" s="8">
        <v>493.92</v>
      </c>
    </row>
    <row r="1495" spans="1:4" x14ac:dyDescent="0.45">
      <c r="A1495" s="7">
        <v>45417</v>
      </c>
      <c r="B1495" t="s">
        <v>95</v>
      </c>
      <c r="C1495" t="s">
        <v>96</v>
      </c>
      <c r="D1495" s="8">
        <v>404.05</v>
      </c>
    </row>
    <row r="1496" spans="1:4" x14ac:dyDescent="0.45">
      <c r="A1496" s="7">
        <v>46045</v>
      </c>
      <c r="B1496" t="s">
        <v>97</v>
      </c>
      <c r="C1496" t="s">
        <v>104</v>
      </c>
      <c r="D1496" s="8">
        <v>418.73</v>
      </c>
    </row>
    <row r="1497" spans="1:4" x14ac:dyDescent="0.45">
      <c r="A1497" s="7">
        <v>45458</v>
      </c>
      <c r="B1497" t="s">
        <v>95</v>
      </c>
      <c r="C1497" t="s">
        <v>99</v>
      </c>
      <c r="D1497" s="8">
        <v>201.52</v>
      </c>
    </row>
    <row r="1498" spans="1:4" x14ac:dyDescent="0.45">
      <c r="A1498" s="7">
        <v>45336</v>
      </c>
      <c r="B1498" t="s">
        <v>97</v>
      </c>
      <c r="C1498" t="s">
        <v>101</v>
      </c>
      <c r="D1498" s="8">
        <v>477.04</v>
      </c>
    </row>
    <row r="1499" spans="1:4" x14ac:dyDescent="0.45">
      <c r="A1499" s="7">
        <v>45410</v>
      </c>
      <c r="B1499" t="s">
        <v>97</v>
      </c>
      <c r="C1499" t="s">
        <v>101</v>
      </c>
      <c r="D1499" s="8">
        <v>456.46</v>
      </c>
    </row>
    <row r="1500" spans="1:4" x14ac:dyDescent="0.45">
      <c r="A1500" s="7">
        <v>45890</v>
      </c>
      <c r="B1500" t="s">
        <v>95</v>
      </c>
      <c r="C1500" t="s">
        <v>109</v>
      </c>
      <c r="D1500" s="8">
        <v>445.81</v>
      </c>
    </row>
    <row r="1501" spans="1:4" x14ac:dyDescent="0.45">
      <c r="A1501" s="7">
        <v>45622</v>
      </c>
      <c r="B1501" t="s">
        <v>95</v>
      </c>
      <c r="C1501" t="s">
        <v>105</v>
      </c>
      <c r="D1501" s="8">
        <v>-8.74</v>
      </c>
    </row>
    <row r="1502" spans="1:4" x14ac:dyDescent="0.45">
      <c r="A1502" s="7">
        <v>45461</v>
      </c>
      <c r="B1502" t="s">
        <v>93</v>
      </c>
      <c r="C1502" t="s">
        <v>94</v>
      </c>
      <c r="D1502" s="8">
        <v>64.849999999999994</v>
      </c>
    </row>
    <row r="1503" spans="1:4" x14ac:dyDescent="0.45">
      <c r="A1503" s="7">
        <v>45589</v>
      </c>
      <c r="B1503" t="s">
        <v>97</v>
      </c>
      <c r="C1503" t="s">
        <v>104</v>
      </c>
      <c r="D1503" s="8">
        <v>267.83</v>
      </c>
    </row>
    <row r="1504" spans="1:4" x14ac:dyDescent="0.45">
      <c r="A1504" s="7">
        <v>45354</v>
      </c>
      <c r="B1504" t="s">
        <v>95</v>
      </c>
      <c r="C1504" t="s">
        <v>96</v>
      </c>
      <c r="D1504" s="8">
        <v>-72.12</v>
      </c>
    </row>
    <row r="1505" spans="1:4" x14ac:dyDescent="0.45">
      <c r="A1505" s="7">
        <v>45370</v>
      </c>
      <c r="B1505" t="s">
        <v>93</v>
      </c>
      <c r="C1505" t="s">
        <v>103</v>
      </c>
      <c r="D1505" s="8">
        <v>266.22000000000003</v>
      </c>
    </row>
    <row r="1506" spans="1:4" x14ac:dyDescent="0.45">
      <c r="A1506" s="7">
        <v>45467</v>
      </c>
      <c r="B1506" t="s">
        <v>93</v>
      </c>
      <c r="C1506" t="s">
        <v>106</v>
      </c>
      <c r="D1506" s="8">
        <v>329.65</v>
      </c>
    </row>
    <row r="1507" spans="1:4" x14ac:dyDescent="0.45">
      <c r="A1507" s="7">
        <v>45635</v>
      </c>
      <c r="B1507" t="s">
        <v>97</v>
      </c>
      <c r="C1507" t="s">
        <v>107</v>
      </c>
      <c r="D1507" s="8">
        <v>62.99</v>
      </c>
    </row>
    <row r="1508" spans="1:4" x14ac:dyDescent="0.45">
      <c r="A1508" s="7">
        <v>45445</v>
      </c>
      <c r="B1508" t="s">
        <v>93</v>
      </c>
      <c r="C1508" t="s">
        <v>106</v>
      </c>
      <c r="D1508" s="8">
        <v>13.98</v>
      </c>
    </row>
    <row r="1509" spans="1:4" x14ac:dyDescent="0.45">
      <c r="A1509" s="7">
        <v>46132</v>
      </c>
      <c r="B1509" t="s">
        <v>97</v>
      </c>
      <c r="C1509" t="s">
        <v>101</v>
      </c>
      <c r="D1509" s="8">
        <v>465.51</v>
      </c>
    </row>
    <row r="1510" spans="1:4" x14ac:dyDescent="0.45">
      <c r="A1510" s="7">
        <v>45367</v>
      </c>
      <c r="B1510" t="s">
        <v>93</v>
      </c>
      <c r="C1510" t="s">
        <v>103</v>
      </c>
      <c r="D1510" s="8">
        <v>291.61</v>
      </c>
    </row>
    <row r="1511" spans="1:4" x14ac:dyDescent="0.45">
      <c r="A1511" s="7">
        <v>46101</v>
      </c>
      <c r="B1511" t="s">
        <v>93</v>
      </c>
      <c r="C1511" t="s">
        <v>100</v>
      </c>
      <c r="D1511" s="8">
        <v>457.2</v>
      </c>
    </row>
    <row r="1512" spans="1:4" x14ac:dyDescent="0.45">
      <c r="A1512" s="7">
        <v>46024</v>
      </c>
      <c r="B1512" t="s">
        <v>93</v>
      </c>
      <c r="C1512" t="s">
        <v>106</v>
      </c>
      <c r="D1512" s="8">
        <v>434.04</v>
      </c>
    </row>
    <row r="1513" spans="1:4" x14ac:dyDescent="0.45">
      <c r="A1513" s="7">
        <v>45491</v>
      </c>
      <c r="B1513" t="s">
        <v>95</v>
      </c>
      <c r="C1513" t="s">
        <v>102</v>
      </c>
      <c r="D1513" s="8">
        <v>31.62</v>
      </c>
    </row>
    <row r="1514" spans="1:4" x14ac:dyDescent="0.45">
      <c r="A1514" s="7">
        <v>45356</v>
      </c>
      <c r="B1514" t="s">
        <v>95</v>
      </c>
      <c r="C1514" t="s">
        <v>102</v>
      </c>
      <c r="D1514" s="8">
        <v>305.42</v>
      </c>
    </row>
    <row r="1515" spans="1:4" x14ac:dyDescent="0.45">
      <c r="A1515" s="7">
        <v>46150</v>
      </c>
      <c r="B1515" t="s">
        <v>97</v>
      </c>
      <c r="C1515" t="s">
        <v>101</v>
      </c>
      <c r="D1515" s="8">
        <v>433.93</v>
      </c>
    </row>
    <row r="1516" spans="1:4" x14ac:dyDescent="0.45">
      <c r="A1516" s="7">
        <v>45773</v>
      </c>
      <c r="B1516" t="s">
        <v>95</v>
      </c>
      <c r="C1516" t="s">
        <v>105</v>
      </c>
      <c r="D1516" s="8">
        <v>-130.84</v>
      </c>
    </row>
    <row r="1517" spans="1:4" x14ac:dyDescent="0.45">
      <c r="A1517" s="7">
        <v>46040</v>
      </c>
      <c r="B1517" t="s">
        <v>95</v>
      </c>
      <c r="C1517" t="s">
        <v>99</v>
      </c>
      <c r="D1517" s="8">
        <v>415.11</v>
      </c>
    </row>
    <row r="1518" spans="1:4" x14ac:dyDescent="0.45">
      <c r="A1518" s="7">
        <v>46186</v>
      </c>
      <c r="B1518" t="s">
        <v>97</v>
      </c>
      <c r="C1518" t="s">
        <v>107</v>
      </c>
      <c r="D1518" s="8">
        <v>376.28</v>
      </c>
    </row>
    <row r="1519" spans="1:4" x14ac:dyDescent="0.45">
      <c r="A1519" s="7">
        <v>45600</v>
      </c>
      <c r="B1519" t="s">
        <v>95</v>
      </c>
      <c r="C1519" t="s">
        <v>96</v>
      </c>
      <c r="D1519" s="8">
        <v>-104.31</v>
      </c>
    </row>
    <row r="1520" spans="1:4" x14ac:dyDescent="0.45">
      <c r="A1520" s="7">
        <v>46124</v>
      </c>
      <c r="B1520" t="s">
        <v>95</v>
      </c>
      <c r="C1520" t="s">
        <v>99</v>
      </c>
      <c r="D1520" s="8">
        <v>-148.82</v>
      </c>
    </row>
    <row r="1521" spans="1:4" x14ac:dyDescent="0.45">
      <c r="A1521" s="7">
        <v>45310</v>
      </c>
      <c r="B1521" t="s">
        <v>93</v>
      </c>
      <c r="C1521" t="s">
        <v>103</v>
      </c>
      <c r="D1521" s="8">
        <v>430.02</v>
      </c>
    </row>
    <row r="1522" spans="1:4" x14ac:dyDescent="0.45">
      <c r="A1522" s="7">
        <v>45861</v>
      </c>
      <c r="B1522" t="s">
        <v>97</v>
      </c>
      <c r="C1522" t="s">
        <v>107</v>
      </c>
      <c r="D1522" s="8">
        <v>337.49</v>
      </c>
    </row>
    <row r="1523" spans="1:4" x14ac:dyDescent="0.45">
      <c r="A1523" s="7">
        <v>45769</v>
      </c>
      <c r="B1523" t="s">
        <v>97</v>
      </c>
      <c r="C1523" t="s">
        <v>107</v>
      </c>
      <c r="D1523" s="8">
        <v>-113.17</v>
      </c>
    </row>
    <row r="1524" spans="1:4" x14ac:dyDescent="0.45">
      <c r="A1524" s="7">
        <v>46034</v>
      </c>
      <c r="B1524" t="s">
        <v>97</v>
      </c>
      <c r="C1524" t="s">
        <v>104</v>
      </c>
      <c r="D1524" s="8">
        <v>99.83</v>
      </c>
    </row>
    <row r="1525" spans="1:4" x14ac:dyDescent="0.45">
      <c r="A1525" s="7">
        <v>45991</v>
      </c>
      <c r="B1525" t="s">
        <v>93</v>
      </c>
      <c r="C1525" t="s">
        <v>94</v>
      </c>
      <c r="D1525" s="8">
        <v>-0.59</v>
      </c>
    </row>
    <row r="1526" spans="1:4" x14ac:dyDescent="0.45">
      <c r="A1526" s="7">
        <v>45403</v>
      </c>
      <c r="B1526" t="s">
        <v>95</v>
      </c>
      <c r="C1526" t="s">
        <v>99</v>
      </c>
      <c r="D1526" s="8">
        <v>471.34</v>
      </c>
    </row>
    <row r="1527" spans="1:4" x14ac:dyDescent="0.45">
      <c r="A1527" s="7">
        <v>45529</v>
      </c>
      <c r="B1527" t="s">
        <v>93</v>
      </c>
      <c r="C1527" t="s">
        <v>103</v>
      </c>
      <c r="D1527" s="8">
        <v>498.01</v>
      </c>
    </row>
    <row r="1528" spans="1:4" x14ac:dyDescent="0.45">
      <c r="A1528" s="7">
        <v>45691</v>
      </c>
      <c r="B1528" t="s">
        <v>97</v>
      </c>
      <c r="C1528" t="s">
        <v>104</v>
      </c>
      <c r="D1528" s="8">
        <v>166.01</v>
      </c>
    </row>
    <row r="1529" spans="1:4" x14ac:dyDescent="0.45">
      <c r="A1529" s="7">
        <v>46029</v>
      </c>
      <c r="B1529" t="s">
        <v>95</v>
      </c>
      <c r="C1529" t="s">
        <v>108</v>
      </c>
      <c r="D1529" s="8">
        <v>497.6</v>
      </c>
    </row>
    <row r="1530" spans="1:4" x14ac:dyDescent="0.45">
      <c r="A1530" s="7">
        <v>46087</v>
      </c>
      <c r="B1530" t="s">
        <v>93</v>
      </c>
      <c r="C1530" t="s">
        <v>94</v>
      </c>
      <c r="D1530" s="8">
        <v>338.4</v>
      </c>
    </row>
    <row r="1531" spans="1:4" x14ac:dyDescent="0.45">
      <c r="A1531" s="7">
        <v>45750</v>
      </c>
      <c r="B1531" t="s">
        <v>93</v>
      </c>
      <c r="C1531" t="s">
        <v>103</v>
      </c>
      <c r="D1531" s="8">
        <v>141.99</v>
      </c>
    </row>
    <row r="1532" spans="1:4" x14ac:dyDescent="0.45">
      <c r="A1532" s="7">
        <v>46044</v>
      </c>
      <c r="B1532" t="s">
        <v>95</v>
      </c>
      <c r="C1532" t="s">
        <v>108</v>
      </c>
      <c r="D1532" s="8">
        <v>196.67</v>
      </c>
    </row>
    <row r="1533" spans="1:4" x14ac:dyDescent="0.45">
      <c r="A1533" s="7">
        <v>45721</v>
      </c>
      <c r="B1533" t="s">
        <v>93</v>
      </c>
      <c r="C1533" t="s">
        <v>103</v>
      </c>
      <c r="D1533" s="8">
        <v>-11.86</v>
      </c>
    </row>
    <row r="1534" spans="1:4" x14ac:dyDescent="0.45">
      <c r="A1534" s="7">
        <v>45371</v>
      </c>
      <c r="B1534" t="s">
        <v>97</v>
      </c>
      <c r="C1534" t="s">
        <v>101</v>
      </c>
      <c r="D1534" s="8">
        <v>367.96</v>
      </c>
    </row>
    <row r="1535" spans="1:4" x14ac:dyDescent="0.45">
      <c r="A1535" s="7">
        <v>45735</v>
      </c>
      <c r="B1535" t="s">
        <v>93</v>
      </c>
      <c r="C1535" t="s">
        <v>106</v>
      </c>
      <c r="D1535" s="8">
        <v>-79.98</v>
      </c>
    </row>
    <row r="1536" spans="1:4" x14ac:dyDescent="0.45">
      <c r="A1536" s="7">
        <v>45695</v>
      </c>
      <c r="B1536" t="s">
        <v>95</v>
      </c>
      <c r="C1536" t="s">
        <v>102</v>
      </c>
      <c r="D1536" s="8">
        <v>346.13</v>
      </c>
    </row>
    <row r="1537" spans="1:4" x14ac:dyDescent="0.45">
      <c r="A1537" s="7">
        <v>46179</v>
      </c>
      <c r="B1537" t="s">
        <v>93</v>
      </c>
      <c r="C1537" t="s">
        <v>106</v>
      </c>
      <c r="D1537" s="8">
        <v>339.44</v>
      </c>
    </row>
    <row r="1538" spans="1:4" x14ac:dyDescent="0.45">
      <c r="A1538" s="7">
        <v>46064</v>
      </c>
      <c r="B1538" t="s">
        <v>93</v>
      </c>
      <c r="C1538" t="s">
        <v>106</v>
      </c>
      <c r="D1538" s="8">
        <v>200.15</v>
      </c>
    </row>
    <row r="1539" spans="1:4" x14ac:dyDescent="0.45">
      <c r="A1539" s="7">
        <v>45743</v>
      </c>
      <c r="B1539" t="s">
        <v>95</v>
      </c>
      <c r="C1539" t="s">
        <v>108</v>
      </c>
      <c r="D1539" s="8">
        <v>-36.24</v>
      </c>
    </row>
    <row r="1540" spans="1:4" x14ac:dyDescent="0.45">
      <c r="A1540" s="7">
        <v>45962</v>
      </c>
      <c r="B1540" t="s">
        <v>93</v>
      </c>
      <c r="C1540" t="s">
        <v>103</v>
      </c>
      <c r="D1540" s="8">
        <v>-82.4</v>
      </c>
    </row>
    <row r="1541" spans="1:4" x14ac:dyDescent="0.45">
      <c r="A1541" s="7">
        <v>46096</v>
      </c>
      <c r="B1541" t="s">
        <v>97</v>
      </c>
      <c r="C1541" t="s">
        <v>98</v>
      </c>
      <c r="D1541" s="8">
        <v>438.61</v>
      </c>
    </row>
    <row r="1542" spans="1:4" x14ac:dyDescent="0.45">
      <c r="A1542" s="7">
        <v>45533</v>
      </c>
      <c r="B1542" t="s">
        <v>93</v>
      </c>
      <c r="C1542" t="s">
        <v>103</v>
      </c>
      <c r="D1542" s="8">
        <v>482.83</v>
      </c>
    </row>
    <row r="1543" spans="1:4" x14ac:dyDescent="0.45">
      <c r="A1543" s="7">
        <v>46065</v>
      </c>
      <c r="B1543" t="s">
        <v>97</v>
      </c>
      <c r="C1543" t="s">
        <v>98</v>
      </c>
      <c r="D1543" s="8">
        <v>123.61</v>
      </c>
    </row>
    <row r="1544" spans="1:4" x14ac:dyDescent="0.45">
      <c r="A1544" s="7">
        <v>45325</v>
      </c>
      <c r="B1544" t="s">
        <v>95</v>
      </c>
      <c r="C1544" t="s">
        <v>96</v>
      </c>
      <c r="D1544" s="8">
        <v>128.58000000000001</v>
      </c>
    </row>
    <row r="1545" spans="1:4" x14ac:dyDescent="0.45">
      <c r="A1545" s="7">
        <v>45696</v>
      </c>
      <c r="B1545" t="s">
        <v>97</v>
      </c>
      <c r="C1545" t="s">
        <v>107</v>
      </c>
      <c r="D1545" s="8">
        <v>21.97</v>
      </c>
    </row>
    <row r="1546" spans="1:4" x14ac:dyDescent="0.45">
      <c r="A1546" s="7">
        <v>45515</v>
      </c>
      <c r="B1546" t="s">
        <v>93</v>
      </c>
      <c r="C1546" t="s">
        <v>103</v>
      </c>
      <c r="D1546" s="8">
        <v>292.37</v>
      </c>
    </row>
    <row r="1547" spans="1:4" x14ac:dyDescent="0.45">
      <c r="A1547" s="7">
        <v>45862</v>
      </c>
      <c r="B1547" t="s">
        <v>97</v>
      </c>
      <c r="C1547" t="s">
        <v>104</v>
      </c>
      <c r="D1547" s="8">
        <v>101.39</v>
      </c>
    </row>
    <row r="1548" spans="1:4" x14ac:dyDescent="0.45">
      <c r="A1548" s="7">
        <v>45360</v>
      </c>
      <c r="B1548" t="s">
        <v>97</v>
      </c>
      <c r="C1548" t="s">
        <v>107</v>
      </c>
      <c r="D1548" s="8">
        <v>16.97</v>
      </c>
    </row>
    <row r="1549" spans="1:4" x14ac:dyDescent="0.45">
      <c r="A1549" s="7">
        <v>46030</v>
      </c>
      <c r="B1549" t="s">
        <v>93</v>
      </c>
      <c r="C1549" t="s">
        <v>100</v>
      </c>
      <c r="D1549" s="8">
        <v>213.56</v>
      </c>
    </row>
    <row r="1550" spans="1:4" x14ac:dyDescent="0.45">
      <c r="A1550" s="7">
        <v>45732</v>
      </c>
      <c r="B1550" t="s">
        <v>95</v>
      </c>
      <c r="C1550" t="s">
        <v>105</v>
      </c>
      <c r="D1550" s="8">
        <v>226.09</v>
      </c>
    </row>
    <row r="1551" spans="1:4" x14ac:dyDescent="0.45">
      <c r="A1551" s="7">
        <v>46147</v>
      </c>
      <c r="B1551" t="s">
        <v>93</v>
      </c>
      <c r="C1551" t="s">
        <v>103</v>
      </c>
      <c r="D1551" s="8">
        <v>-52.45</v>
      </c>
    </row>
    <row r="1552" spans="1:4" x14ac:dyDescent="0.45">
      <c r="A1552" s="7">
        <v>45345</v>
      </c>
      <c r="B1552" t="s">
        <v>97</v>
      </c>
      <c r="C1552" t="s">
        <v>98</v>
      </c>
      <c r="D1552" s="8">
        <v>414.47</v>
      </c>
    </row>
    <row r="1553" spans="1:4" x14ac:dyDescent="0.45">
      <c r="A1553" s="7">
        <v>45683</v>
      </c>
      <c r="B1553" t="s">
        <v>95</v>
      </c>
      <c r="C1553" t="s">
        <v>108</v>
      </c>
      <c r="D1553" s="8">
        <v>459.33</v>
      </c>
    </row>
    <row r="1554" spans="1:4" x14ac:dyDescent="0.45">
      <c r="A1554" s="7">
        <v>45829</v>
      </c>
      <c r="B1554" t="s">
        <v>93</v>
      </c>
      <c r="C1554" t="s">
        <v>103</v>
      </c>
      <c r="D1554" s="8">
        <v>284.64</v>
      </c>
    </row>
    <row r="1555" spans="1:4" x14ac:dyDescent="0.45">
      <c r="A1555" s="7">
        <v>45763</v>
      </c>
      <c r="B1555" t="s">
        <v>95</v>
      </c>
      <c r="C1555" t="s">
        <v>108</v>
      </c>
      <c r="D1555" s="8">
        <v>-27.29</v>
      </c>
    </row>
    <row r="1556" spans="1:4" x14ac:dyDescent="0.45">
      <c r="A1556" s="7">
        <v>46177</v>
      </c>
      <c r="B1556" t="s">
        <v>93</v>
      </c>
      <c r="C1556" t="s">
        <v>103</v>
      </c>
      <c r="D1556" s="8">
        <v>370.78</v>
      </c>
    </row>
    <row r="1557" spans="1:4" x14ac:dyDescent="0.45">
      <c r="A1557" s="7">
        <v>45809</v>
      </c>
      <c r="B1557" t="s">
        <v>95</v>
      </c>
      <c r="C1557" t="s">
        <v>102</v>
      </c>
      <c r="D1557" s="8">
        <v>43.52</v>
      </c>
    </row>
    <row r="1558" spans="1:4" x14ac:dyDescent="0.45">
      <c r="A1558" s="7">
        <v>45754</v>
      </c>
      <c r="B1558" t="s">
        <v>97</v>
      </c>
      <c r="C1558" t="s">
        <v>98</v>
      </c>
      <c r="D1558" s="8">
        <v>-100.4</v>
      </c>
    </row>
    <row r="1559" spans="1:4" x14ac:dyDescent="0.45">
      <c r="A1559" s="7">
        <v>45938</v>
      </c>
      <c r="B1559" t="s">
        <v>95</v>
      </c>
      <c r="C1559" t="s">
        <v>105</v>
      </c>
      <c r="D1559" s="8">
        <v>225.38</v>
      </c>
    </row>
    <row r="1560" spans="1:4" x14ac:dyDescent="0.45">
      <c r="A1560" s="7">
        <v>45845</v>
      </c>
      <c r="B1560" t="s">
        <v>95</v>
      </c>
      <c r="C1560" t="s">
        <v>99</v>
      </c>
      <c r="D1560" s="8">
        <v>471.36</v>
      </c>
    </row>
    <row r="1561" spans="1:4" x14ac:dyDescent="0.45">
      <c r="A1561" s="7">
        <v>45685</v>
      </c>
      <c r="B1561" t="s">
        <v>93</v>
      </c>
      <c r="C1561" t="s">
        <v>100</v>
      </c>
      <c r="D1561" s="8">
        <v>455.86</v>
      </c>
    </row>
    <row r="1562" spans="1:4" x14ac:dyDescent="0.45">
      <c r="A1562" s="7">
        <v>45388</v>
      </c>
      <c r="B1562" t="s">
        <v>97</v>
      </c>
      <c r="C1562" t="s">
        <v>104</v>
      </c>
      <c r="D1562" s="8">
        <v>119.49</v>
      </c>
    </row>
    <row r="1563" spans="1:4" x14ac:dyDescent="0.45">
      <c r="A1563" s="7">
        <v>45771</v>
      </c>
      <c r="B1563" t="s">
        <v>97</v>
      </c>
      <c r="C1563" t="s">
        <v>107</v>
      </c>
      <c r="D1563" s="8">
        <v>-44.12</v>
      </c>
    </row>
    <row r="1564" spans="1:4" x14ac:dyDescent="0.45">
      <c r="A1564" s="7">
        <v>46114</v>
      </c>
      <c r="B1564" t="s">
        <v>93</v>
      </c>
      <c r="C1564" t="s">
        <v>103</v>
      </c>
      <c r="D1564" s="8">
        <v>135.37</v>
      </c>
    </row>
    <row r="1565" spans="1:4" x14ac:dyDescent="0.45">
      <c r="A1565" s="7">
        <v>45956</v>
      </c>
      <c r="B1565" t="s">
        <v>95</v>
      </c>
      <c r="C1565" t="s">
        <v>99</v>
      </c>
      <c r="D1565" s="8">
        <v>445.1</v>
      </c>
    </row>
    <row r="1566" spans="1:4" x14ac:dyDescent="0.45">
      <c r="A1566" s="7">
        <v>45444</v>
      </c>
      <c r="B1566" t="s">
        <v>95</v>
      </c>
      <c r="C1566" t="s">
        <v>99</v>
      </c>
      <c r="D1566" s="8">
        <v>-70.349999999999994</v>
      </c>
    </row>
    <row r="1567" spans="1:4" x14ac:dyDescent="0.45">
      <c r="A1567" s="7">
        <v>46042</v>
      </c>
      <c r="B1567" t="s">
        <v>93</v>
      </c>
      <c r="C1567" t="s">
        <v>103</v>
      </c>
      <c r="D1567" s="8">
        <v>334.02</v>
      </c>
    </row>
    <row r="1568" spans="1:4" x14ac:dyDescent="0.45">
      <c r="A1568" s="7">
        <v>45621</v>
      </c>
      <c r="B1568" t="s">
        <v>95</v>
      </c>
      <c r="C1568" t="s">
        <v>102</v>
      </c>
      <c r="D1568" s="8">
        <v>55.92</v>
      </c>
    </row>
    <row r="1569" spans="1:4" x14ac:dyDescent="0.45">
      <c r="A1569" s="7">
        <v>45921</v>
      </c>
      <c r="B1569" t="s">
        <v>95</v>
      </c>
      <c r="C1569" t="s">
        <v>102</v>
      </c>
      <c r="D1569" s="8">
        <v>-64.89</v>
      </c>
    </row>
    <row r="1570" spans="1:4" x14ac:dyDescent="0.45">
      <c r="A1570" s="7">
        <v>45913</v>
      </c>
      <c r="B1570" t="s">
        <v>95</v>
      </c>
      <c r="C1570" t="s">
        <v>108</v>
      </c>
      <c r="D1570" s="8">
        <v>269.97000000000003</v>
      </c>
    </row>
    <row r="1571" spans="1:4" x14ac:dyDescent="0.45">
      <c r="A1571" s="7">
        <v>45599</v>
      </c>
      <c r="B1571" t="s">
        <v>97</v>
      </c>
      <c r="C1571" t="s">
        <v>101</v>
      </c>
      <c r="D1571" s="8">
        <v>227.46</v>
      </c>
    </row>
    <row r="1572" spans="1:4" x14ac:dyDescent="0.45">
      <c r="A1572" s="7">
        <v>45586</v>
      </c>
      <c r="B1572" t="s">
        <v>97</v>
      </c>
      <c r="C1572" t="s">
        <v>101</v>
      </c>
      <c r="D1572" s="8">
        <v>69.349999999999994</v>
      </c>
    </row>
    <row r="1573" spans="1:4" x14ac:dyDescent="0.45">
      <c r="A1573" s="7">
        <v>45756</v>
      </c>
      <c r="B1573" t="s">
        <v>93</v>
      </c>
      <c r="C1573" t="s">
        <v>94</v>
      </c>
      <c r="D1573" s="8">
        <v>325.8</v>
      </c>
    </row>
    <row r="1574" spans="1:4" x14ac:dyDescent="0.45">
      <c r="A1574" s="7">
        <v>46191</v>
      </c>
      <c r="B1574" t="s">
        <v>97</v>
      </c>
      <c r="C1574" t="s">
        <v>107</v>
      </c>
      <c r="D1574" s="8">
        <v>173.15</v>
      </c>
    </row>
    <row r="1575" spans="1:4" x14ac:dyDescent="0.45">
      <c r="A1575" s="7">
        <v>45467</v>
      </c>
      <c r="B1575" t="s">
        <v>95</v>
      </c>
      <c r="C1575" t="s">
        <v>109</v>
      </c>
      <c r="D1575" s="8">
        <v>222.09</v>
      </c>
    </row>
    <row r="1576" spans="1:4" x14ac:dyDescent="0.45">
      <c r="A1576" s="7">
        <v>45311</v>
      </c>
      <c r="B1576" t="s">
        <v>95</v>
      </c>
      <c r="C1576" t="s">
        <v>108</v>
      </c>
      <c r="D1576" s="8">
        <v>80.23</v>
      </c>
    </row>
    <row r="1577" spans="1:4" x14ac:dyDescent="0.45">
      <c r="A1577" s="7">
        <v>45398</v>
      </c>
      <c r="B1577" t="s">
        <v>97</v>
      </c>
      <c r="C1577" t="s">
        <v>101</v>
      </c>
      <c r="D1577" s="8">
        <v>281.64999999999998</v>
      </c>
    </row>
    <row r="1578" spans="1:4" x14ac:dyDescent="0.45">
      <c r="A1578" s="7">
        <v>45669</v>
      </c>
      <c r="B1578" t="s">
        <v>93</v>
      </c>
      <c r="C1578" t="s">
        <v>106</v>
      </c>
      <c r="D1578" s="8">
        <v>194.01</v>
      </c>
    </row>
    <row r="1579" spans="1:4" x14ac:dyDescent="0.45">
      <c r="A1579" s="7">
        <v>45877</v>
      </c>
      <c r="B1579" t="s">
        <v>95</v>
      </c>
      <c r="C1579" t="s">
        <v>108</v>
      </c>
      <c r="D1579" s="8">
        <v>-135.44999999999999</v>
      </c>
    </row>
    <row r="1580" spans="1:4" x14ac:dyDescent="0.45">
      <c r="A1580" s="7">
        <v>45465</v>
      </c>
      <c r="B1580" t="s">
        <v>97</v>
      </c>
      <c r="C1580" t="s">
        <v>98</v>
      </c>
      <c r="D1580" s="8">
        <v>139.1</v>
      </c>
    </row>
    <row r="1581" spans="1:4" x14ac:dyDescent="0.45">
      <c r="A1581" s="7">
        <v>45372</v>
      </c>
      <c r="B1581" t="s">
        <v>95</v>
      </c>
      <c r="C1581" t="s">
        <v>105</v>
      </c>
      <c r="D1581" s="8">
        <v>-72.27</v>
      </c>
    </row>
    <row r="1582" spans="1:4" x14ac:dyDescent="0.45">
      <c r="A1582" s="7">
        <v>45363</v>
      </c>
      <c r="B1582" t="s">
        <v>93</v>
      </c>
      <c r="C1582" t="s">
        <v>100</v>
      </c>
      <c r="D1582" s="8">
        <v>219.22</v>
      </c>
    </row>
    <row r="1583" spans="1:4" x14ac:dyDescent="0.45">
      <c r="A1583" s="7">
        <v>45912</v>
      </c>
      <c r="B1583" t="s">
        <v>97</v>
      </c>
      <c r="C1583" t="s">
        <v>101</v>
      </c>
      <c r="D1583" s="8">
        <v>200.61</v>
      </c>
    </row>
    <row r="1584" spans="1:4" x14ac:dyDescent="0.45">
      <c r="A1584" s="7">
        <v>45900</v>
      </c>
      <c r="B1584" t="s">
        <v>97</v>
      </c>
      <c r="C1584" t="s">
        <v>104</v>
      </c>
      <c r="D1584" s="8">
        <v>-133.41</v>
      </c>
    </row>
    <row r="1585" spans="1:4" x14ac:dyDescent="0.45">
      <c r="A1585" s="7">
        <v>45683</v>
      </c>
      <c r="B1585" t="s">
        <v>93</v>
      </c>
      <c r="C1585" t="s">
        <v>94</v>
      </c>
      <c r="D1585" s="8">
        <v>-107.47</v>
      </c>
    </row>
    <row r="1586" spans="1:4" x14ac:dyDescent="0.45">
      <c r="A1586" s="7">
        <v>45857</v>
      </c>
      <c r="B1586" t="s">
        <v>97</v>
      </c>
      <c r="C1586" t="s">
        <v>98</v>
      </c>
      <c r="D1586" s="8">
        <v>294.06</v>
      </c>
    </row>
    <row r="1587" spans="1:4" x14ac:dyDescent="0.45">
      <c r="A1587" s="7">
        <v>45928</v>
      </c>
      <c r="B1587" t="s">
        <v>95</v>
      </c>
      <c r="C1587" t="s">
        <v>96</v>
      </c>
      <c r="D1587" s="8">
        <v>104.95</v>
      </c>
    </row>
    <row r="1588" spans="1:4" x14ac:dyDescent="0.45">
      <c r="A1588" s="7">
        <v>45490</v>
      </c>
      <c r="B1588" t="s">
        <v>95</v>
      </c>
      <c r="C1588" t="s">
        <v>96</v>
      </c>
      <c r="D1588" s="8">
        <v>458.08</v>
      </c>
    </row>
    <row r="1589" spans="1:4" x14ac:dyDescent="0.45">
      <c r="A1589" s="7">
        <v>45437</v>
      </c>
      <c r="B1589" t="s">
        <v>97</v>
      </c>
      <c r="C1589" t="s">
        <v>101</v>
      </c>
      <c r="D1589" s="8">
        <v>100.24</v>
      </c>
    </row>
    <row r="1590" spans="1:4" x14ac:dyDescent="0.45">
      <c r="A1590" s="7">
        <v>45436</v>
      </c>
      <c r="B1590" t="s">
        <v>95</v>
      </c>
      <c r="C1590" t="s">
        <v>102</v>
      </c>
      <c r="D1590" s="8">
        <v>-40.26</v>
      </c>
    </row>
    <row r="1591" spans="1:4" x14ac:dyDescent="0.45">
      <c r="A1591" s="7">
        <v>45563</v>
      </c>
      <c r="B1591" t="s">
        <v>95</v>
      </c>
      <c r="C1591" t="s">
        <v>99</v>
      </c>
      <c r="D1591" s="8">
        <v>441.98</v>
      </c>
    </row>
    <row r="1592" spans="1:4" x14ac:dyDescent="0.45">
      <c r="A1592" s="7">
        <v>45714</v>
      </c>
      <c r="B1592" t="s">
        <v>93</v>
      </c>
      <c r="C1592" t="s">
        <v>103</v>
      </c>
      <c r="D1592" s="8">
        <v>311.10000000000002</v>
      </c>
    </row>
    <row r="1593" spans="1:4" x14ac:dyDescent="0.45">
      <c r="A1593" s="7">
        <v>46013</v>
      </c>
      <c r="B1593" t="s">
        <v>93</v>
      </c>
      <c r="C1593" t="s">
        <v>100</v>
      </c>
      <c r="D1593" s="8">
        <v>-70.25</v>
      </c>
    </row>
    <row r="1594" spans="1:4" x14ac:dyDescent="0.45">
      <c r="A1594" s="7">
        <v>45498</v>
      </c>
      <c r="B1594" t="s">
        <v>93</v>
      </c>
      <c r="C1594" t="s">
        <v>94</v>
      </c>
      <c r="D1594" s="8">
        <v>264.37</v>
      </c>
    </row>
    <row r="1595" spans="1:4" x14ac:dyDescent="0.45">
      <c r="A1595" s="7">
        <v>45859</v>
      </c>
      <c r="B1595" t="s">
        <v>93</v>
      </c>
      <c r="C1595" t="s">
        <v>106</v>
      </c>
      <c r="D1595" s="8">
        <v>30.99</v>
      </c>
    </row>
    <row r="1596" spans="1:4" x14ac:dyDescent="0.45">
      <c r="A1596" s="7">
        <v>45984</v>
      </c>
      <c r="B1596" t="s">
        <v>97</v>
      </c>
      <c r="C1596" t="s">
        <v>98</v>
      </c>
      <c r="D1596" s="8">
        <v>324.97000000000003</v>
      </c>
    </row>
    <row r="1597" spans="1:4" x14ac:dyDescent="0.45">
      <c r="A1597" s="7">
        <v>45464</v>
      </c>
      <c r="B1597" t="s">
        <v>93</v>
      </c>
      <c r="C1597" t="s">
        <v>103</v>
      </c>
      <c r="D1597" s="8">
        <v>426.89</v>
      </c>
    </row>
    <row r="1598" spans="1:4" x14ac:dyDescent="0.45">
      <c r="A1598" s="7">
        <v>45355</v>
      </c>
      <c r="B1598" t="s">
        <v>93</v>
      </c>
      <c r="C1598" t="s">
        <v>100</v>
      </c>
      <c r="D1598" s="8">
        <v>148.27000000000001</v>
      </c>
    </row>
    <row r="1599" spans="1:4" x14ac:dyDescent="0.45">
      <c r="A1599" s="7">
        <v>45720</v>
      </c>
      <c r="B1599" t="s">
        <v>93</v>
      </c>
      <c r="C1599" t="s">
        <v>103</v>
      </c>
      <c r="D1599" s="8">
        <v>128.13</v>
      </c>
    </row>
    <row r="1600" spans="1:4" x14ac:dyDescent="0.45">
      <c r="A1600" s="7">
        <v>45307</v>
      </c>
      <c r="B1600" t="s">
        <v>95</v>
      </c>
      <c r="C1600" t="s">
        <v>109</v>
      </c>
      <c r="D1600" s="8">
        <v>474.48</v>
      </c>
    </row>
    <row r="1601" spans="1:4" x14ac:dyDescent="0.45">
      <c r="A1601" s="7">
        <v>45359</v>
      </c>
      <c r="B1601" t="s">
        <v>97</v>
      </c>
      <c r="C1601" t="s">
        <v>107</v>
      </c>
      <c r="D1601" s="8">
        <v>-115.69</v>
      </c>
    </row>
    <row r="1602" spans="1:4" x14ac:dyDescent="0.45">
      <c r="A1602" s="7">
        <v>46042</v>
      </c>
      <c r="B1602" t="s">
        <v>97</v>
      </c>
      <c r="C1602" t="s">
        <v>101</v>
      </c>
      <c r="D1602" s="8">
        <v>411.57</v>
      </c>
    </row>
    <row r="1603" spans="1:4" x14ac:dyDescent="0.45">
      <c r="A1603" s="7">
        <v>45865</v>
      </c>
      <c r="B1603" t="s">
        <v>97</v>
      </c>
      <c r="C1603" t="s">
        <v>104</v>
      </c>
      <c r="D1603" s="8">
        <v>492.25</v>
      </c>
    </row>
    <row r="1604" spans="1:4" x14ac:dyDescent="0.45">
      <c r="A1604" s="7">
        <v>45724</v>
      </c>
      <c r="B1604" t="s">
        <v>93</v>
      </c>
      <c r="C1604" t="s">
        <v>106</v>
      </c>
      <c r="D1604" s="8">
        <v>-95.51</v>
      </c>
    </row>
    <row r="1605" spans="1:4" x14ac:dyDescent="0.45">
      <c r="A1605" s="7">
        <v>45863</v>
      </c>
      <c r="B1605" t="s">
        <v>93</v>
      </c>
      <c r="C1605" t="s">
        <v>106</v>
      </c>
      <c r="D1605" s="8">
        <v>414.61</v>
      </c>
    </row>
    <row r="1606" spans="1:4" x14ac:dyDescent="0.45">
      <c r="A1606" s="7">
        <v>46187</v>
      </c>
      <c r="B1606" t="s">
        <v>93</v>
      </c>
      <c r="C1606" t="s">
        <v>106</v>
      </c>
      <c r="D1606" s="8">
        <v>204.58</v>
      </c>
    </row>
    <row r="1607" spans="1:4" x14ac:dyDescent="0.45">
      <c r="A1607" s="7">
        <v>45764</v>
      </c>
      <c r="B1607" t="s">
        <v>95</v>
      </c>
      <c r="C1607" t="s">
        <v>96</v>
      </c>
      <c r="D1607" s="8">
        <v>-10.49</v>
      </c>
    </row>
    <row r="1608" spans="1:4" x14ac:dyDescent="0.45">
      <c r="A1608" s="7">
        <v>45673</v>
      </c>
      <c r="B1608" t="s">
        <v>97</v>
      </c>
      <c r="C1608" t="s">
        <v>98</v>
      </c>
      <c r="D1608" s="8">
        <v>-17.260000000000002</v>
      </c>
    </row>
    <row r="1609" spans="1:4" x14ac:dyDescent="0.45">
      <c r="A1609" s="7">
        <v>45639</v>
      </c>
      <c r="B1609" t="s">
        <v>97</v>
      </c>
      <c r="C1609" t="s">
        <v>101</v>
      </c>
      <c r="D1609" s="8">
        <v>-5.21</v>
      </c>
    </row>
    <row r="1610" spans="1:4" x14ac:dyDescent="0.45">
      <c r="A1610" s="7">
        <v>45954</v>
      </c>
      <c r="B1610" t="s">
        <v>93</v>
      </c>
      <c r="C1610" t="s">
        <v>103</v>
      </c>
      <c r="D1610" s="8">
        <v>-77.099999999999994</v>
      </c>
    </row>
    <row r="1611" spans="1:4" x14ac:dyDescent="0.45">
      <c r="A1611" s="7">
        <v>45598</v>
      </c>
      <c r="B1611" t="s">
        <v>95</v>
      </c>
      <c r="C1611" t="s">
        <v>108</v>
      </c>
      <c r="D1611" s="8">
        <v>234.93</v>
      </c>
    </row>
    <row r="1612" spans="1:4" x14ac:dyDescent="0.45">
      <c r="A1612" s="7">
        <v>45884</v>
      </c>
      <c r="B1612" t="s">
        <v>93</v>
      </c>
      <c r="C1612" t="s">
        <v>106</v>
      </c>
      <c r="D1612" s="8">
        <v>490.4</v>
      </c>
    </row>
    <row r="1613" spans="1:4" x14ac:dyDescent="0.45">
      <c r="A1613" s="7">
        <v>45659</v>
      </c>
      <c r="B1613" t="s">
        <v>97</v>
      </c>
      <c r="C1613" t="s">
        <v>104</v>
      </c>
      <c r="D1613" s="8">
        <v>53.97</v>
      </c>
    </row>
    <row r="1614" spans="1:4" x14ac:dyDescent="0.45">
      <c r="A1614" s="7">
        <v>45582</v>
      </c>
      <c r="B1614" t="s">
        <v>95</v>
      </c>
      <c r="C1614" t="s">
        <v>96</v>
      </c>
      <c r="D1614" s="8">
        <v>-147.85</v>
      </c>
    </row>
    <row r="1615" spans="1:4" x14ac:dyDescent="0.45">
      <c r="A1615" s="7">
        <v>45534</v>
      </c>
      <c r="B1615" t="s">
        <v>95</v>
      </c>
      <c r="C1615" t="s">
        <v>99</v>
      </c>
      <c r="D1615" s="8">
        <v>129.22</v>
      </c>
    </row>
    <row r="1616" spans="1:4" x14ac:dyDescent="0.45">
      <c r="A1616" s="7">
        <v>45997</v>
      </c>
      <c r="B1616" t="s">
        <v>95</v>
      </c>
      <c r="C1616" t="s">
        <v>105</v>
      </c>
      <c r="D1616" s="8">
        <v>-133.41999999999999</v>
      </c>
    </row>
    <row r="1617" spans="1:4" x14ac:dyDescent="0.45">
      <c r="A1617" s="7">
        <v>45894</v>
      </c>
      <c r="B1617" t="s">
        <v>95</v>
      </c>
      <c r="C1617" t="s">
        <v>102</v>
      </c>
      <c r="D1617" s="8">
        <v>-51.37</v>
      </c>
    </row>
    <row r="1618" spans="1:4" x14ac:dyDescent="0.45">
      <c r="A1618" s="7">
        <v>45579</v>
      </c>
      <c r="B1618" t="s">
        <v>95</v>
      </c>
      <c r="C1618" t="s">
        <v>108</v>
      </c>
      <c r="D1618" s="8">
        <v>417.85</v>
      </c>
    </row>
    <row r="1619" spans="1:4" x14ac:dyDescent="0.45">
      <c r="A1619" s="7">
        <v>46186</v>
      </c>
      <c r="B1619" t="s">
        <v>97</v>
      </c>
      <c r="C1619" t="s">
        <v>107</v>
      </c>
      <c r="D1619" s="8">
        <v>-83.7</v>
      </c>
    </row>
    <row r="1620" spans="1:4" x14ac:dyDescent="0.45">
      <c r="A1620" s="7">
        <v>45318</v>
      </c>
      <c r="B1620" t="s">
        <v>97</v>
      </c>
      <c r="C1620" t="s">
        <v>107</v>
      </c>
      <c r="D1620" s="8">
        <v>102.86</v>
      </c>
    </row>
    <row r="1621" spans="1:4" x14ac:dyDescent="0.45">
      <c r="A1621" s="7">
        <v>45361</v>
      </c>
      <c r="B1621" t="s">
        <v>97</v>
      </c>
      <c r="C1621" t="s">
        <v>104</v>
      </c>
      <c r="D1621" s="8">
        <v>446.95</v>
      </c>
    </row>
    <row r="1622" spans="1:4" x14ac:dyDescent="0.45">
      <c r="A1622" s="7">
        <v>45974</v>
      </c>
      <c r="B1622" t="s">
        <v>93</v>
      </c>
      <c r="C1622" t="s">
        <v>103</v>
      </c>
      <c r="D1622" s="8">
        <v>435.03</v>
      </c>
    </row>
    <row r="1623" spans="1:4" x14ac:dyDescent="0.45">
      <c r="A1623" s="7">
        <v>45710</v>
      </c>
      <c r="B1623" t="s">
        <v>95</v>
      </c>
      <c r="C1623" t="s">
        <v>105</v>
      </c>
      <c r="D1623" s="8">
        <v>251.08</v>
      </c>
    </row>
    <row r="1624" spans="1:4" x14ac:dyDescent="0.45">
      <c r="A1624" s="7">
        <v>45455</v>
      </c>
      <c r="B1624" t="s">
        <v>95</v>
      </c>
      <c r="C1624" t="s">
        <v>105</v>
      </c>
      <c r="D1624" s="8">
        <v>473</v>
      </c>
    </row>
    <row r="1625" spans="1:4" x14ac:dyDescent="0.45">
      <c r="A1625" s="7">
        <v>45561</v>
      </c>
      <c r="B1625" t="s">
        <v>95</v>
      </c>
      <c r="C1625" t="s">
        <v>109</v>
      </c>
      <c r="D1625" s="8">
        <v>-74.66</v>
      </c>
    </row>
    <row r="1626" spans="1:4" x14ac:dyDescent="0.45">
      <c r="A1626" s="7">
        <v>45332</v>
      </c>
      <c r="B1626" t="s">
        <v>97</v>
      </c>
      <c r="C1626" t="s">
        <v>98</v>
      </c>
      <c r="D1626" s="8">
        <v>-117.17</v>
      </c>
    </row>
    <row r="1627" spans="1:4" x14ac:dyDescent="0.45">
      <c r="A1627" s="7">
        <v>45774</v>
      </c>
      <c r="B1627" t="s">
        <v>93</v>
      </c>
      <c r="C1627" t="s">
        <v>106</v>
      </c>
      <c r="D1627" s="8">
        <v>158.71</v>
      </c>
    </row>
    <row r="1628" spans="1:4" x14ac:dyDescent="0.45">
      <c r="A1628" s="7">
        <v>45871</v>
      </c>
      <c r="B1628" t="s">
        <v>95</v>
      </c>
      <c r="C1628" t="s">
        <v>105</v>
      </c>
      <c r="D1628" s="8">
        <v>304.08999999999997</v>
      </c>
    </row>
    <row r="1629" spans="1:4" x14ac:dyDescent="0.45">
      <c r="A1629" s="7">
        <v>45680</v>
      </c>
      <c r="B1629" t="s">
        <v>95</v>
      </c>
      <c r="C1629" t="s">
        <v>108</v>
      </c>
      <c r="D1629" s="8">
        <v>-136.91</v>
      </c>
    </row>
    <row r="1630" spans="1:4" x14ac:dyDescent="0.45">
      <c r="A1630" s="7">
        <v>45597</v>
      </c>
      <c r="B1630" t="s">
        <v>93</v>
      </c>
      <c r="C1630" t="s">
        <v>103</v>
      </c>
      <c r="D1630" s="8">
        <v>230.71</v>
      </c>
    </row>
    <row r="1631" spans="1:4" x14ac:dyDescent="0.45">
      <c r="A1631" s="7">
        <v>45682</v>
      </c>
      <c r="B1631" t="s">
        <v>95</v>
      </c>
      <c r="C1631" t="s">
        <v>96</v>
      </c>
      <c r="D1631" s="8">
        <v>9.0500000000000007</v>
      </c>
    </row>
    <row r="1632" spans="1:4" x14ac:dyDescent="0.45">
      <c r="A1632" s="7">
        <v>46149</v>
      </c>
      <c r="B1632" t="s">
        <v>97</v>
      </c>
      <c r="C1632" t="s">
        <v>104</v>
      </c>
      <c r="D1632" s="8">
        <v>-129.56</v>
      </c>
    </row>
    <row r="1633" spans="1:4" x14ac:dyDescent="0.45">
      <c r="A1633" s="7">
        <v>46165</v>
      </c>
      <c r="B1633" t="s">
        <v>95</v>
      </c>
      <c r="C1633" t="s">
        <v>108</v>
      </c>
      <c r="D1633" s="8">
        <v>498.07</v>
      </c>
    </row>
    <row r="1634" spans="1:4" x14ac:dyDescent="0.45">
      <c r="A1634" s="7">
        <v>45740</v>
      </c>
      <c r="B1634" t="s">
        <v>97</v>
      </c>
      <c r="C1634" t="s">
        <v>104</v>
      </c>
      <c r="D1634" s="8">
        <v>27.61</v>
      </c>
    </row>
    <row r="1635" spans="1:4" x14ac:dyDescent="0.45">
      <c r="A1635" s="7">
        <v>45834</v>
      </c>
      <c r="B1635" t="s">
        <v>95</v>
      </c>
      <c r="C1635" t="s">
        <v>105</v>
      </c>
      <c r="D1635" s="8">
        <v>-129.68</v>
      </c>
    </row>
    <row r="1636" spans="1:4" x14ac:dyDescent="0.45">
      <c r="A1636" s="7">
        <v>46024</v>
      </c>
      <c r="B1636" t="s">
        <v>97</v>
      </c>
      <c r="C1636" t="s">
        <v>98</v>
      </c>
      <c r="D1636" s="8">
        <v>405.21</v>
      </c>
    </row>
    <row r="1637" spans="1:4" x14ac:dyDescent="0.45">
      <c r="A1637" s="7">
        <v>45998</v>
      </c>
      <c r="B1637" t="s">
        <v>95</v>
      </c>
      <c r="C1637" t="s">
        <v>109</v>
      </c>
      <c r="D1637" s="8">
        <v>-68.81</v>
      </c>
    </row>
    <row r="1638" spans="1:4" x14ac:dyDescent="0.45">
      <c r="A1638" s="7">
        <v>45742</v>
      </c>
      <c r="B1638" t="s">
        <v>95</v>
      </c>
      <c r="C1638" t="s">
        <v>96</v>
      </c>
      <c r="D1638" s="8">
        <v>29.56</v>
      </c>
    </row>
    <row r="1639" spans="1:4" x14ac:dyDescent="0.45">
      <c r="A1639" s="7">
        <v>45298</v>
      </c>
      <c r="B1639" t="s">
        <v>93</v>
      </c>
      <c r="C1639" t="s">
        <v>100</v>
      </c>
      <c r="D1639" s="8">
        <v>332.12</v>
      </c>
    </row>
    <row r="1640" spans="1:4" x14ac:dyDescent="0.45">
      <c r="A1640" s="7">
        <v>45345</v>
      </c>
      <c r="B1640" t="s">
        <v>95</v>
      </c>
      <c r="C1640" t="s">
        <v>109</v>
      </c>
      <c r="D1640" s="8">
        <v>370.34</v>
      </c>
    </row>
    <row r="1641" spans="1:4" x14ac:dyDescent="0.45">
      <c r="A1641" s="7">
        <v>46118</v>
      </c>
      <c r="B1641" t="s">
        <v>93</v>
      </c>
      <c r="C1641" t="s">
        <v>94</v>
      </c>
      <c r="D1641" s="8">
        <v>196.44</v>
      </c>
    </row>
    <row r="1642" spans="1:4" x14ac:dyDescent="0.45">
      <c r="A1642" s="7">
        <v>45681</v>
      </c>
      <c r="B1642" t="s">
        <v>97</v>
      </c>
      <c r="C1642" t="s">
        <v>104</v>
      </c>
      <c r="D1642" s="8">
        <v>164.5</v>
      </c>
    </row>
    <row r="1643" spans="1:4" x14ac:dyDescent="0.45">
      <c r="A1643" s="7">
        <v>46092</v>
      </c>
      <c r="B1643" t="s">
        <v>97</v>
      </c>
      <c r="C1643" t="s">
        <v>98</v>
      </c>
      <c r="D1643" s="8">
        <v>100.96</v>
      </c>
    </row>
    <row r="1644" spans="1:4" x14ac:dyDescent="0.45">
      <c r="A1644" s="7">
        <v>45368</v>
      </c>
      <c r="B1644" t="s">
        <v>97</v>
      </c>
      <c r="C1644" t="s">
        <v>98</v>
      </c>
      <c r="D1644" s="8">
        <v>95.39</v>
      </c>
    </row>
    <row r="1645" spans="1:4" x14ac:dyDescent="0.45">
      <c r="A1645" s="7">
        <v>45619</v>
      </c>
      <c r="B1645" t="s">
        <v>95</v>
      </c>
      <c r="C1645" t="s">
        <v>105</v>
      </c>
      <c r="D1645" s="8">
        <v>439.45</v>
      </c>
    </row>
    <row r="1646" spans="1:4" x14ac:dyDescent="0.45">
      <c r="A1646" s="7">
        <v>45841</v>
      </c>
      <c r="B1646" t="s">
        <v>97</v>
      </c>
      <c r="C1646" t="s">
        <v>107</v>
      </c>
      <c r="D1646" s="8">
        <v>261.66000000000003</v>
      </c>
    </row>
    <row r="1647" spans="1:4" x14ac:dyDescent="0.45">
      <c r="A1647" s="7">
        <v>45759</v>
      </c>
      <c r="B1647" t="s">
        <v>95</v>
      </c>
      <c r="C1647" t="s">
        <v>109</v>
      </c>
      <c r="D1647" s="8">
        <v>46.97</v>
      </c>
    </row>
    <row r="1648" spans="1:4" x14ac:dyDescent="0.45">
      <c r="A1648" s="7">
        <v>45475</v>
      </c>
      <c r="B1648" t="s">
        <v>93</v>
      </c>
      <c r="C1648" t="s">
        <v>103</v>
      </c>
      <c r="D1648" s="8">
        <v>411.53</v>
      </c>
    </row>
    <row r="1649" spans="1:4" x14ac:dyDescent="0.45">
      <c r="A1649" s="7">
        <v>45970</v>
      </c>
      <c r="B1649" t="s">
        <v>95</v>
      </c>
      <c r="C1649" t="s">
        <v>108</v>
      </c>
      <c r="D1649" s="8">
        <v>11.96</v>
      </c>
    </row>
    <row r="1650" spans="1:4" x14ac:dyDescent="0.45">
      <c r="A1650" s="7">
        <v>45730</v>
      </c>
      <c r="B1650" t="s">
        <v>95</v>
      </c>
      <c r="C1650" t="s">
        <v>108</v>
      </c>
      <c r="D1650" s="8">
        <v>338.13</v>
      </c>
    </row>
    <row r="1651" spans="1:4" x14ac:dyDescent="0.45">
      <c r="A1651" s="7">
        <v>45387</v>
      </c>
      <c r="B1651" t="s">
        <v>95</v>
      </c>
      <c r="C1651" t="s">
        <v>96</v>
      </c>
      <c r="D1651" s="8">
        <v>469.79</v>
      </c>
    </row>
    <row r="1652" spans="1:4" x14ac:dyDescent="0.45">
      <c r="A1652" s="7">
        <v>46067</v>
      </c>
      <c r="B1652" t="s">
        <v>93</v>
      </c>
      <c r="C1652" t="s">
        <v>103</v>
      </c>
      <c r="D1652" s="8">
        <v>322.02999999999997</v>
      </c>
    </row>
    <row r="1653" spans="1:4" x14ac:dyDescent="0.45">
      <c r="A1653" s="7">
        <v>45625</v>
      </c>
      <c r="B1653" t="s">
        <v>95</v>
      </c>
      <c r="C1653" t="s">
        <v>108</v>
      </c>
      <c r="D1653" s="8">
        <v>408.11</v>
      </c>
    </row>
    <row r="1654" spans="1:4" x14ac:dyDescent="0.45">
      <c r="A1654" s="7">
        <v>45447</v>
      </c>
      <c r="B1654" t="s">
        <v>93</v>
      </c>
      <c r="C1654" t="s">
        <v>103</v>
      </c>
      <c r="D1654" s="8">
        <v>252.93</v>
      </c>
    </row>
    <row r="1655" spans="1:4" x14ac:dyDescent="0.45">
      <c r="A1655" s="7">
        <v>46098</v>
      </c>
      <c r="B1655" t="s">
        <v>93</v>
      </c>
      <c r="C1655" t="s">
        <v>100</v>
      </c>
      <c r="D1655" s="8">
        <v>79.11</v>
      </c>
    </row>
    <row r="1656" spans="1:4" x14ac:dyDescent="0.45">
      <c r="A1656" s="7">
        <v>45608</v>
      </c>
      <c r="B1656" t="s">
        <v>95</v>
      </c>
      <c r="C1656" t="s">
        <v>109</v>
      </c>
      <c r="D1656" s="8">
        <v>148.43</v>
      </c>
    </row>
    <row r="1657" spans="1:4" x14ac:dyDescent="0.45">
      <c r="A1657" s="7">
        <v>45599</v>
      </c>
      <c r="B1657" t="s">
        <v>97</v>
      </c>
      <c r="C1657" t="s">
        <v>101</v>
      </c>
      <c r="D1657" s="8">
        <v>217.87</v>
      </c>
    </row>
    <row r="1658" spans="1:4" x14ac:dyDescent="0.45">
      <c r="A1658" s="7">
        <v>45697</v>
      </c>
      <c r="B1658" t="s">
        <v>93</v>
      </c>
      <c r="C1658" t="s">
        <v>106</v>
      </c>
      <c r="D1658" s="8">
        <v>-70.47</v>
      </c>
    </row>
    <row r="1659" spans="1:4" x14ac:dyDescent="0.45">
      <c r="A1659" s="7">
        <v>46176</v>
      </c>
      <c r="B1659" t="s">
        <v>97</v>
      </c>
      <c r="C1659" t="s">
        <v>98</v>
      </c>
      <c r="D1659" s="8">
        <v>-39.380000000000003</v>
      </c>
    </row>
    <row r="1660" spans="1:4" x14ac:dyDescent="0.45">
      <c r="A1660" s="7">
        <v>45707</v>
      </c>
      <c r="B1660" t="s">
        <v>97</v>
      </c>
      <c r="C1660" t="s">
        <v>107</v>
      </c>
      <c r="D1660" s="8">
        <v>247.98</v>
      </c>
    </row>
    <row r="1661" spans="1:4" x14ac:dyDescent="0.45">
      <c r="A1661" s="7">
        <v>45785</v>
      </c>
      <c r="B1661" t="s">
        <v>97</v>
      </c>
      <c r="C1661" t="s">
        <v>104</v>
      </c>
      <c r="D1661" s="8">
        <v>243.77</v>
      </c>
    </row>
    <row r="1662" spans="1:4" x14ac:dyDescent="0.45">
      <c r="A1662" s="7">
        <v>45855</v>
      </c>
      <c r="B1662" t="s">
        <v>95</v>
      </c>
      <c r="C1662" t="s">
        <v>108</v>
      </c>
      <c r="D1662" s="8">
        <v>150.37</v>
      </c>
    </row>
    <row r="1663" spans="1:4" x14ac:dyDescent="0.45">
      <c r="A1663" s="7">
        <v>46089</v>
      </c>
      <c r="B1663" t="s">
        <v>95</v>
      </c>
      <c r="C1663" t="s">
        <v>99</v>
      </c>
      <c r="D1663" s="8">
        <v>60.44</v>
      </c>
    </row>
    <row r="1664" spans="1:4" x14ac:dyDescent="0.45">
      <c r="A1664" s="7">
        <v>45769</v>
      </c>
      <c r="B1664" t="s">
        <v>95</v>
      </c>
      <c r="C1664" t="s">
        <v>99</v>
      </c>
      <c r="D1664" s="8">
        <v>404.21</v>
      </c>
    </row>
    <row r="1665" spans="1:4" x14ac:dyDescent="0.45">
      <c r="A1665" s="7">
        <v>45927</v>
      </c>
      <c r="B1665" t="s">
        <v>95</v>
      </c>
      <c r="C1665" t="s">
        <v>96</v>
      </c>
      <c r="D1665" s="8">
        <v>134.19999999999999</v>
      </c>
    </row>
    <row r="1666" spans="1:4" x14ac:dyDescent="0.45">
      <c r="A1666" s="7">
        <v>45729</v>
      </c>
      <c r="B1666" t="s">
        <v>93</v>
      </c>
      <c r="C1666" t="s">
        <v>106</v>
      </c>
      <c r="D1666" s="8">
        <v>477.25</v>
      </c>
    </row>
    <row r="1667" spans="1:4" x14ac:dyDescent="0.45">
      <c r="A1667" s="7">
        <v>46165</v>
      </c>
      <c r="B1667" t="s">
        <v>93</v>
      </c>
      <c r="C1667" t="s">
        <v>94</v>
      </c>
      <c r="D1667" s="8">
        <v>2.04</v>
      </c>
    </row>
    <row r="1668" spans="1:4" x14ac:dyDescent="0.45">
      <c r="A1668" s="7">
        <v>45506</v>
      </c>
      <c r="B1668" t="s">
        <v>97</v>
      </c>
      <c r="C1668" t="s">
        <v>104</v>
      </c>
      <c r="D1668" s="8">
        <v>-91.45</v>
      </c>
    </row>
    <row r="1669" spans="1:4" x14ac:dyDescent="0.45">
      <c r="A1669" s="7">
        <v>45888</v>
      </c>
      <c r="B1669" t="s">
        <v>97</v>
      </c>
      <c r="C1669" t="s">
        <v>98</v>
      </c>
      <c r="D1669" s="8">
        <v>362.99</v>
      </c>
    </row>
    <row r="1670" spans="1:4" x14ac:dyDescent="0.45">
      <c r="A1670" s="7">
        <v>45628</v>
      </c>
      <c r="B1670" t="s">
        <v>93</v>
      </c>
      <c r="C1670" t="s">
        <v>103</v>
      </c>
      <c r="D1670" s="8">
        <v>174.82</v>
      </c>
    </row>
    <row r="1671" spans="1:4" x14ac:dyDescent="0.45">
      <c r="A1671" s="7">
        <v>46156</v>
      </c>
      <c r="B1671" t="s">
        <v>93</v>
      </c>
      <c r="C1671" t="s">
        <v>103</v>
      </c>
      <c r="D1671" s="8">
        <v>397.77</v>
      </c>
    </row>
    <row r="1672" spans="1:4" x14ac:dyDescent="0.45">
      <c r="A1672" s="7">
        <v>45905</v>
      </c>
      <c r="B1672" t="s">
        <v>97</v>
      </c>
      <c r="C1672" t="s">
        <v>101</v>
      </c>
      <c r="D1672" s="8">
        <v>413.15</v>
      </c>
    </row>
    <row r="1673" spans="1:4" x14ac:dyDescent="0.45">
      <c r="A1673" s="7">
        <v>45795</v>
      </c>
      <c r="B1673" t="s">
        <v>97</v>
      </c>
      <c r="C1673" t="s">
        <v>98</v>
      </c>
      <c r="D1673" s="8">
        <v>250.04</v>
      </c>
    </row>
    <row r="1674" spans="1:4" x14ac:dyDescent="0.45">
      <c r="A1674" s="7">
        <v>46177</v>
      </c>
      <c r="B1674" t="s">
        <v>95</v>
      </c>
      <c r="C1674" t="s">
        <v>102</v>
      </c>
      <c r="D1674" s="8">
        <v>-42.84</v>
      </c>
    </row>
    <row r="1675" spans="1:4" x14ac:dyDescent="0.45">
      <c r="A1675" s="7">
        <v>45418</v>
      </c>
      <c r="B1675" t="s">
        <v>95</v>
      </c>
      <c r="C1675" t="s">
        <v>99</v>
      </c>
      <c r="D1675" s="8">
        <v>114.7</v>
      </c>
    </row>
    <row r="1676" spans="1:4" x14ac:dyDescent="0.45">
      <c r="A1676" s="7">
        <v>45779</v>
      </c>
      <c r="B1676" t="s">
        <v>97</v>
      </c>
      <c r="C1676" t="s">
        <v>98</v>
      </c>
      <c r="D1676" s="8">
        <v>368.58</v>
      </c>
    </row>
    <row r="1677" spans="1:4" x14ac:dyDescent="0.45">
      <c r="A1677" s="7">
        <v>45294</v>
      </c>
      <c r="B1677" t="s">
        <v>95</v>
      </c>
      <c r="C1677" t="s">
        <v>96</v>
      </c>
      <c r="D1677" s="8">
        <v>25.97</v>
      </c>
    </row>
    <row r="1678" spans="1:4" x14ac:dyDescent="0.45">
      <c r="A1678" s="7">
        <v>46070</v>
      </c>
      <c r="B1678" t="s">
        <v>95</v>
      </c>
      <c r="C1678" t="s">
        <v>109</v>
      </c>
      <c r="D1678" s="8">
        <v>249.96</v>
      </c>
    </row>
    <row r="1679" spans="1:4" x14ac:dyDescent="0.45">
      <c r="A1679" s="7">
        <v>46124</v>
      </c>
      <c r="B1679" t="s">
        <v>97</v>
      </c>
      <c r="C1679" t="s">
        <v>104</v>
      </c>
      <c r="D1679" s="8">
        <v>-94.26</v>
      </c>
    </row>
    <row r="1680" spans="1:4" x14ac:dyDescent="0.45">
      <c r="A1680" s="7">
        <v>45577</v>
      </c>
      <c r="B1680" t="s">
        <v>97</v>
      </c>
      <c r="C1680" t="s">
        <v>101</v>
      </c>
      <c r="D1680" s="8">
        <v>-119.37</v>
      </c>
    </row>
    <row r="1681" spans="1:4" x14ac:dyDescent="0.45">
      <c r="A1681" s="7">
        <v>46167</v>
      </c>
      <c r="B1681" t="s">
        <v>93</v>
      </c>
      <c r="C1681" t="s">
        <v>106</v>
      </c>
      <c r="D1681" s="8">
        <v>322.43</v>
      </c>
    </row>
    <row r="1682" spans="1:4" x14ac:dyDescent="0.45">
      <c r="A1682" s="7">
        <v>45946</v>
      </c>
      <c r="B1682" t="s">
        <v>95</v>
      </c>
      <c r="C1682" t="s">
        <v>109</v>
      </c>
      <c r="D1682" s="8">
        <v>270.13</v>
      </c>
    </row>
    <row r="1683" spans="1:4" x14ac:dyDescent="0.45">
      <c r="A1683" s="7">
        <v>46044</v>
      </c>
      <c r="B1683" t="s">
        <v>97</v>
      </c>
      <c r="C1683" t="s">
        <v>107</v>
      </c>
      <c r="D1683" s="8">
        <v>0.28000000000000003</v>
      </c>
    </row>
    <row r="1684" spans="1:4" x14ac:dyDescent="0.45">
      <c r="A1684" s="7">
        <v>45851</v>
      </c>
      <c r="B1684" t="s">
        <v>95</v>
      </c>
      <c r="C1684" t="s">
        <v>109</v>
      </c>
      <c r="D1684" s="8">
        <v>69.64</v>
      </c>
    </row>
    <row r="1685" spans="1:4" x14ac:dyDescent="0.45">
      <c r="A1685" s="7">
        <v>45338</v>
      </c>
      <c r="B1685" t="s">
        <v>97</v>
      </c>
      <c r="C1685" t="s">
        <v>104</v>
      </c>
      <c r="D1685" s="8">
        <v>-81.45</v>
      </c>
    </row>
    <row r="1686" spans="1:4" x14ac:dyDescent="0.45">
      <c r="A1686" s="7">
        <v>46023</v>
      </c>
      <c r="B1686" t="s">
        <v>95</v>
      </c>
      <c r="C1686" t="s">
        <v>99</v>
      </c>
      <c r="D1686" s="8">
        <v>158.06</v>
      </c>
    </row>
    <row r="1687" spans="1:4" x14ac:dyDescent="0.45">
      <c r="A1687" s="7">
        <v>45318</v>
      </c>
      <c r="B1687" t="s">
        <v>97</v>
      </c>
      <c r="C1687" t="s">
        <v>104</v>
      </c>
      <c r="D1687" s="8">
        <v>187.11</v>
      </c>
    </row>
    <row r="1688" spans="1:4" x14ac:dyDescent="0.45">
      <c r="A1688" s="7">
        <v>45412</v>
      </c>
      <c r="B1688" t="s">
        <v>93</v>
      </c>
      <c r="C1688" t="s">
        <v>106</v>
      </c>
      <c r="D1688" s="8">
        <v>85.45</v>
      </c>
    </row>
    <row r="1689" spans="1:4" x14ac:dyDescent="0.45">
      <c r="A1689" s="7">
        <v>46133</v>
      </c>
      <c r="B1689" t="s">
        <v>95</v>
      </c>
      <c r="C1689" t="s">
        <v>99</v>
      </c>
      <c r="D1689" s="8">
        <v>122.92</v>
      </c>
    </row>
    <row r="1690" spans="1:4" x14ac:dyDescent="0.45">
      <c r="A1690" s="7">
        <v>46157</v>
      </c>
      <c r="B1690" t="s">
        <v>97</v>
      </c>
      <c r="C1690" t="s">
        <v>104</v>
      </c>
      <c r="D1690" s="8">
        <v>423.68</v>
      </c>
    </row>
    <row r="1691" spans="1:4" x14ac:dyDescent="0.45">
      <c r="A1691" s="7">
        <v>45863</v>
      </c>
      <c r="B1691" t="s">
        <v>93</v>
      </c>
      <c r="C1691" t="s">
        <v>100</v>
      </c>
      <c r="D1691" s="8">
        <v>-47.51</v>
      </c>
    </row>
    <row r="1692" spans="1:4" x14ac:dyDescent="0.45">
      <c r="A1692" s="7">
        <v>46126</v>
      </c>
      <c r="B1692" t="s">
        <v>95</v>
      </c>
      <c r="C1692" t="s">
        <v>99</v>
      </c>
      <c r="D1692" s="8">
        <v>14.63</v>
      </c>
    </row>
    <row r="1693" spans="1:4" x14ac:dyDescent="0.45">
      <c r="A1693" s="7">
        <v>45570</v>
      </c>
      <c r="B1693" t="s">
        <v>93</v>
      </c>
      <c r="C1693" t="s">
        <v>94</v>
      </c>
      <c r="D1693" s="8">
        <v>199.9</v>
      </c>
    </row>
    <row r="1694" spans="1:4" x14ac:dyDescent="0.45">
      <c r="A1694" s="7">
        <v>45701</v>
      </c>
      <c r="B1694" t="s">
        <v>95</v>
      </c>
      <c r="C1694" t="s">
        <v>102</v>
      </c>
      <c r="D1694" s="8">
        <v>447.92</v>
      </c>
    </row>
    <row r="1695" spans="1:4" x14ac:dyDescent="0.45">
      <c r="A1695" s="7">
        <v>45623</v>
      </c>
      <c r="B1695" t="s">
        <v>95</v>
      </c>
      <c r="C1695" t="s">
        <v>105</v>
      </c>
      <c r="D1695" s="8">
        <v>186.9</v>
      </c>
    </row>
    <row r="1696" spans="1:4" x14ac:dyDescent="0.45">
      <c r="A1696" s="7">
        <v>45480</v>
      </c>
      <c r="B1696" t="s">
        <v>93</v>
      </c>
      <c r="C1696" t="s">
        <v>103</v>
      </c>
      <c r="D1696" s="8">
        <v>251.03</v>
      </c>
    </row>
    <row r="1697" spans="1:4" x14ac:dyDescent="0.45">
      <c r="A1697" s="7">
        <v>45616</v>
      </c>
      <c r="B1697" t="s">
        <v>93</v>
      </c>
      <c r="C1697" t="s">
        <v>94</v>
      </c>
      <c r="D1697" s="8">
        <v>-126.87</v>
      </c>
    </row>
    <row r="1698" spans="1:4" x14ac:dyDescent="0.45">
      <c r="A1698" s="7">
        <v>45541</v>
      </c>
      <c r="B1698" t="s">
        <v>93</v>
      </c>
      <c r="C1698" t="s">
        <v>100</v>
      </c>
      <c r="D1698" s="8">
        <v>386.99</v>
      </c>
    </row>
    <row r="1699" spans="1:4" x14ac:dyDescent="0.45">
      <c r="A1699" s="7">
        <v>45523</v>
      </c>
      <c r="B1699" t="s">
        <v>93</v>
      </c>
      <c r="C1699" t="s">
        <v>103</v>
      </c>
      <c r="D1699" s="8">
        <v>57.49</v>
      </c>
    </row>
    <row r="1700" spans="1:4" x14ac:dyDescent="0.45">
      <c r="A1700" s="7">
        <v>45366</v>
      </c>
      <c r="B1700" t="s">
        <v>93</v>
      </c>
      <c r="C1700" t="s">
        <v>103</v>
      </c>
      <c r="D1700" s="8">
        <v>288.70999999999998</v>
      </c>
    </row>
    <row r="1701" spans="1:4" x14ac:dyDescent="0.45">
      <c r="A1701" s="7">
        <v>45547</v>
      </c>
      <c r="B1701" t="s">
        <v>97</v>
      </c>
      <c r="C1701" t="s">
        <v>104</v>
      </c>
      <c r="D1701" s="8">
        <v>222.55</v>
      </c>
    </row>
    <row r="1702" spans="1:4" x14ac:dyDescent="0.45">
      <c r="A1702" s="7">
        <v>45614</v>
      </c>
      <c r="B1702" t="s">
        <v>93</v>
      </c>
      <c r="C1702" t="s">
        <v>94</v>
      </c>
      <c r="D1702" s="8">
        <v>203.74</v>
      </c>
    </row>
    <row r="1703" spans="1:4" x14ac:dyDescent="0.45">
      <c r="A1703" s="7">
        <v>46141</v>
      </c>
      <c r="B1703" t="s">
        <v>97</v>
      </c>
      <c r="C1703" t="s">
        <v>107</v>
      </c>
      <c r="D1703" s="8">
        <v>161.6</v>
      </c>
    </row>
    <row r="1704" spans="1:4" x14ac:dyDescent="0.45">
      <c r="A1704" s="7">
        <v>46027</v>
      </c>
      <c r="B1704" t="s">
        <v>97</v>
      </c>
      <c r="C1704" t="s">
        <v>104</v>
      </c>
      <c r="D1704" s="8">
        <v>346.94</v>
      </c>
    </row>
    <row r="1705" spans="1:4" x14ac:dyDescent="0.45">
      <c r="A1705" s="7">
        <v>45505</v>
      </c>
      <c r="B1705" t="s">
        <v>93</v>
      </c>
      <c r="C1705" t="s">
        <v>94</v>
      </c>
      <c r="D1705" s="8">
        <v>426.84</v>
      </c>
    </row>
    <row r="1706" spans="1:4" x14ac:dyDescent="0.45">
      <c r="A1706" s="7">
        <v>45512</v>
      </c>
      <c r="B1706" t="s">
        <v>97</v>
      </c>
      <c r="C1706" t="s">
        <v>104</v>
      </c>
      <c r="D1706" s="8">
        <v>438.51</v>
      </c>
    </row>
    <row r="1707" spans="1:4" x14ac:dyDescent="0.45">
      <c r="A1707" s="7">
        <v>45924</v>
      </c>
      <c r="B1707" t="s">
        <v>97</v>
      </c>
      <c r="C1707" t="s">
        <v>101</v>
      </c>
      <c r="D1707" s="8">
        <v>412.22</v>
      </c>
    </row>
    <row r="1708" spans="1:4" x14ac:dyDescent="0.45">
      <c r="A1708" s="7">
        <v>45309</v>
      </c>
      <c r="B1708" t="s">
        <v>93</v>
      </c>
      <c r="C1708" t="s">
        <v>106</v>
      </c>
      <c r="D1708" s="8">
        <v>151.52000000000001</v>
      </c>
    </row>
    <row r="1709" spans="1:4" x14ac:dyDescent="0.45">
      <c r="A1709" s="7">
        <v>45802</v>
      </c>
      <c r="B1709" t="s">
        <v>97</v>
      </c>
      <c r="C1709" t="s">
        <v>98</v>
      </c>
      <c r="D1709" s="8">
        <v>335.56</v>
      </c>
    </row>
    <row r="1710" spans="1:4" x14ac:dyDescent="0.45">
      <c r="A1710" s="7">
        <v>45552</v>
      </c>
      <c r="B1710" t="s">
        <v>95</v>
      </c>
      <c r="C1710" t="s">
        <v>96</v>
      </c>
      <c r="D1710" s="8">
        <v>138.27000000000001</v>
      </c>
    </row>
    <row r="1711" spans="1:4" x14ac:dyDescent="0.45">
      <c r="A1711" s="7">
        <v>46138</v>
      </c>
      <c r="B1711" t="s">
        <v>95</v>
      </c>
      <c r="C1711" t="s">
        <v>108</v>
      </c>
      <c r="D1711" s="8">
        <v>259.91000000000003</v>
      </c>
    </row>
    <row r="1712" spans="1:4" x14ac:dyDescent="0.45">
      <c r="A1712" s="7">
        <v>45378</v>
      </c>
      <c r="B1712" t="s">
        <v>93</v>
      </c>
      <c r="C1712" t="s">
        <v>94</v>
      </c>
      <c r="D1712" s="8">
        <v>1.02</v>
      </c>
    </row>
    <row r="1713" spans="1:4" x14ac:dyDescent="0.45">
      <c r="A1713" s="7">
        <v>45594</v>
      </c>
      <c r="B1713" t="s">
        <v>95</v>
      </c>
      <c r="C1713" t="s">
        <v>102</v>
      </c>
      <c r="D1713" s="8">
        <v>-44.63</v>
      </c>
    </row>
    <row r="1714" spans="1:4" x14ac:dyDescent="0.45">
      <c r="A1714" s="7">
        <v>45590</v>
      </c>
      <c r="B1714" t="s">
        <v>93</v>
      </c>
      <c r="C1714" t="s">
        <v>100</v>
      </c>
      <c r="D1714" s="8">
        <v>-12.36</v>
      </c>
    </row>
    <row r="1715" spans="1:4" x14ac:dyDescent="0.45">
      <c r="A1715" s="7">
        <v>45531</v>
      </c>
      <c r="B1715" t="s">
        <v>97</v>
      </c>
      <c r="C1715" t="s">
        <v>104</v>
      </c>
      <c r="D1715" s="8">
        <v>64.69</v>
      </c>
    </row>
    <row r="1716" spans="1:4" x14ac:dyDescent="0.45">
      <c r="A1716" s="7">
        <v>45456</v>
      </c>
      <c r="B1716" t="s">
        <v>97</v>
      </c>
      <c r="C1716" t="s">
        <v>107</v>
      </c>
      <c r="D1716" s="8">
        <v>434.22</v>
      </c>
    </row>
    <row r="1717" spans="1:4" x14ac:dyDescent="0.45">
      <c r="A1717" s="7">
        <v>45850</v>
      </c>
      <c r="B1717" t="s">
        <v>95</v>
      </c>
      <c r="C1717" t="s">
        <v>96</v>
      </c>
      <c r="D1717" s="8">
        <v>101.44</v>
      </c>
    </row>
    <row r="1718" spans="1:4" x14ac:dyDescent="0.45">
      <c r="A1718" s="7">
        <v>45768</v>
      </c>
      <c r="B1718" t="s">
        <v>95</v>
      </c>
      <c r="C1718" t="s">
        <v>109</v>
      </c>
      <c r="D1718" s="8">
        <v>114.12</v>
      </c>
    </row>
    <row r="1719" spans="1:4" x14ac:dyDescent="0.45">
      <c r="A1719" s="7">
        <v>45683</v>
      </c>
      <c r="B1719" t="s">
        <v>93</v>
      </c>
      <c r="C1719" t="s">
        <v>103</v>
      </c>
      <c r="D1719" s="8">
        <v>371.86</v>
      </c>
    </row>
    <row r="1720" spans="1:4" x14ac:dyDescent="0.45">
      <c r="A1720" s="7">
        <v>45523</v>
      </c>
      <c r="B1720" t="s">
        <v>93</v>
      </c>
      <c r="C1720" t="s">
        <v>94</v>
      </c>
      <c r="D1720" s="8">
        <v>260.25</v>
      </c>
    </row>
    <row r="1721" spans="1:4" x14ac:dyDescent="0.45">
      <c r="A1721" s="7">
        <v>45602</v>
      </c>
      <c r="B1721" t="s">
        <v>93</v>
      </c>
      <c r="C1721" t="s">
        <v>106</v>
      </c>
      <c r="D1721" s="8">
        <v>105.88</v>
      </c>
    </row>
    <row r="1722" spans="1:4" x14ac:dyDescent="0.45">
      <c r="A1722" s="7">
        <v>45806</v>
      </c>
      <c r="B1722" t="s">
        <v>97</v>
      </c>
      <c r="C1722" t="s">
        <v>98</v>
      </c>
      <c r="D1722" s="8">
        <v>401.72</v>
      </c>
    </row>
    <row r="1723" spans="1:4" x14ac:dyDescent="0.45">
      <c r="A1723" s="7">
        <v>45767</v>
      </c>
      <c r="B1723" t="s">
        <v>93</v>
      </c>
      <c r="C1723" t="s">
        <v>103</v>
      </c>
      <c r="D1723" s="8">
        <v>-7.18</v>
      </c>
    </row>
    <row r="1724" spans="1:4" x14ac:dyDescent="0.45">
      <c r="A1724" s="7">
        <v>45910</v>
      </c>
      <c r="B1724" t="s">
        <v>93</v>
      </c>
      <c r="C1724" t="s">
        <v>100</v>
      </c>
      <c r="D1724" s="8">
        <v>234.44</v>
      </c>
    </row>
    <row r="1725" spans="1:4" x14ac:dyDescent="0.45">
      <c r="A1725" s="7">
        <v>45921</v>
      </c>
      <c r="B1725" t="s">
        <v>93</v>
      </c>
      <c r="C1725" t="s">
        <v>94</v>
      </c>
      <c r="D1725" s="8">
        <v>130.1</v>
      </c>
    </row>
    <row r="1726" spans="1:4" x14ac:dyDescent="0.45">
      <c r="A1726" s="7">
        <v>45860</v>
      </c>
      <c r="B1726" t="s">
        <v>93</v>
      </c>
      <c r="C1726" t="s">
        <v>103</v>
      </c>
      <c r="D1726" s="8">
        <v>-11.57</v>
      </c>
    </row>
    <row r="1727" spans="1:4" x14ac:dyDescent="0.45">
      <c r="A1727" s="7">
        <v>45792</v>
      </c>
      <c r="B1727" t="s">
        <v>97</v>
      </c>
      <c r="C1727" t="s">
        <v>98</v>
      </c>
      <c r="D1727" s="8">
        <v>5.87</v>
      </c>
    </row>
    <row r="1728" spans="1:4" x14ac:dyDescent="0.45">
      <c r="A1728" s="7">
        <v>46063</v>
      </c>
      <c r="B1728" t="s">
        <v>97</v>
      </c>
      <c r="C1728" t="s">
        <v>104</v>
      </c>
      <c r="D1728" s="8">
        <v>66.680000000000007</v>
      </c>
    </row>
    <row r="1729" spans="1:4" x14ac:dyDescent="0.45">
      <c r="A1729" s="7">
        <v>45407</v>
      </c>
      <c r="B1729" t="s">
        <v>97</v>
      </c>
      <c r="C1729" t="s">
        <v>107</v>
      </c>
      <c r="D1729" s="8">
        <v>176.08</v>
      </c>
    </row>
    <row r="1730" spans="1:4" x14ac:dyDescent="0.45">
      <c r="A1730" s="7">
        <v>46153</v>
      </c>
      <c r="B1730" t="s">
        <v>97</v>
      </c>
      <c r="C1730" t="s">
        <v>101</v>
      </c>
      <c r="D1730" s="8">
        <v>276.27</v>
      </c>
    </row>
    <row r="1731" spans="1:4" x14ac:dyDescent="0.45">
      <c r="A1731" s="7">
        <v>45855</v>
      </c>
      <c r="B1731" t="s">
        <v>93</v>
      </c>
      <c r="C1731" t="s">
        <v>100</v>
      </c>
      <c r="D1731" s="8">
        <v>347.93</v>
      </c>
    </row>
    <row r="1732" spans="1:4" x14ac:dyDescent="0.45">
      <c r="A1732" s="7">
        <v>45553</v>
      </c>
      <c r="B1732" t="s">
        <v>95</v>
      </c>
      <c r="C1732" t="s">
        <v>102</v>
      </c>
      <c r="D1732" s="8">
        <v>425.87</v>
      </c>
    </row>
    <row r="1733" spans="1:4" x14ac:dyDescent="0.45">
      <c r="A1733" s="7">
        <v>45849</v>
      </c>
      <c r="B1733" t="s">
        <v>95</v>
      </c>
      <c r="C1733" t="s">
        <v>99</v>
      </c>
      <c r="D1733" s="8">
        <v>117.71</v>
      </c>
    </row>
    <row r="1734" spans="1:4" x14ac:dyDescent="0.45">
      <c r="A1734" s="7">
        <v>46015</v>
      </c>
      <c r="B1734" t="s">
        <v>93</v>
      </c>
      <c r="C1734" t="s">
        <v>94</v>
      </c>
      <c r="D1734" s="8">
        <v>105.47</v>
      </c>
    </row>
    <row r="1735" spans="1:4" x14ac:dyDescent="0.45">
      <c r="A1735" s="7">
        <v>45913</v>
      </c>
      <c r="B1735" t="s">
        <v>97</v>
      </c>
      <c r="C1735" t="s">
        <v>98</v>
      </c>
      <c r="D1735" s="8">
        <v>-114.51</v>
      </c>
    </row>
    <row r="1736" spans="1:4" x14ac:dyDescent="0.45">
      <c r="A1736" s="7">
        <v>45473</v>
      </c>
      <c r="B1736" t="s">
        <v>95</v>
      </c>
      <c r="C1736" t="s">
        <v>108</v>
      </c>
      <c r="D1736" s="8">
        <v>207.95</v>
      </c>
    </row>
    <row r="1737" spans="1:4" x14ac:dyDescent="0.45">
      <c r="A1737" s="7">
        <v>46103</v>
      </c>
      <c r="B1737" t="s">
        <v>97</v>
      </c>
      <c r="C1737" t="s">
        <v>98</v>
      </c>
      <c r="D1737" s="8">
        <v>256.06</v>
      </c>
    </row>
    <row r="1738" spans="1:4" x14ac:dyDescent="0.45">
      <c r="A1738" s="7">
        <v>45942</v>
      </c>
      <c r="B1738" t="s">
        <v>95</v>
      </c>
      <c r="C1738" t="s">
        <v>108</v>
      </c>
      <c r="D1738" s="8">
        <v>93.14</v>
      </c>
    </row>
    <row r="1739" spans="1:4" x14ac:dyDescent="0.45">
      <c r="A1739" s="7">
        <v>45836</v>
      </c>
      <c r="B1739" t="s">
        <v>97</v>
      </c>
      <c r="C1739" t="s">
        <v>101</v>
      </c>
      <c r="D1739" s="8">
        <v>438.55</v>
      </c>
    </row>
    <row r="1740" spans="1:4" x14ac:dyDescent="0.45">
      <c r="A1740" s="7">
        <v>45812</v>
      </c>
      <c r="B1740" t="s">
        <v>95</v>
      </c>
      <c r="C1740" t="s">
        <v>96</v>
      </c>
      <c r="D1740" s="8">
        <v>257.19</v>
      </c>
    </row>
    <row r="1741" spans="1:4" x14ac:dyDescent="0.45">
      <c r="A1741" s="7">
        <v>45951</v>
      </c>
      <c r="B1741" t="s">
        <v>95</v>
      </c>
      <c r="C1741" t="s">
        <v>102</v>
      </c>
      <c r="D1741" s="8">
        <v>-47.13</v>
      </c>
    </row>
    <row r="1742" spans="1:4" x14ac:dyDescent="0.45">
      <c r="A1742" s="7">
        <v>45788</v>
      </c>
      <c r="B1742" t="s">
        <v>95</v>
      </c>
      <c r="C1742" t="s">
        <v>99</v>
      </c>
      <c r="D1742" s="8">
        <v>258.52999999999997</v>
      </c>
    </row>
    <row r="1743" spans="1:4" x14ac:dyDescent="0.45">
      <c r="A1743" s="7">
        <v>45395</v>
      </c>
      <c r="B1743" t="s">
        <v>97</v>
      </c>
      <c r="C1743" t="s">
        <v>104</v>
      </c>
      <c r="D1743" s="8">
        <v>278.29000000000002</v>
      </c>
    </row>
    <row r="1744" spans="1:4" x14ac:dyDescent="0.45">
      <c r="A1744" s="7">
        <v>45856</v>
      </c>
      <c r="B1744" t="s">
        <v>93</v>
      </c>
      <c r="C1744" t="s">
        <v>94</v>
      </c>
      <c r="D1744" s="8">
        <v>-61.7</v>
      </c>
    </row>
    <row r="1745" spans="1:4" x14ac:dyDescent="0.45">
      <c r="A1745" s="7">
        <v>45407</v>
      </c>
      <c r="B1745" t="s">
        <v>95</v>
      </c>
      <c r="C1745" t="s">
        <v>105</v>
      </c>
      <c r="D1745" s="8">
        <v>475.64</v>
      </c>
    </row>
    <row r="1746" spans="1:4" x14ac:dyDescent="0.45">
      <c r="A1746" s="7">
        <v>45913</v>
      </c>
      <c r="B1746" t="s">
        <v>97</v>
      </c>
      <c r="C1746" t="s">
        <v>107</v>
      </c>
      <c r="D1746" s="8">
        <v>-70.39</v>
      </c>
    </row>
    <row r="1747" spans="1:4" x14ac:dyDescent="0.45">
      <c r="A1747" s="7">
        <v>45413</v>
      </c>
      <c r="B1747" t="s">
        <v>93</v>
      </c>
      <c r="C1747" t="s">
        <v>106</v>
      </c>
      <c r="D1747" s="8">
        <v>-110.94</v>
      </c>
    </row>
    <row r="1748" spans="1:4" x14ac:dyDescent="0.45">
      <c r="A1748" s="7">
        <v>45951</v>
      </c>
      <c r="B1748" t="s">
        <v>93</v>
      </c>
      <c r="C1748" t="s">
        <v>100</v>
      </c>
      <c r="D1748" s="8">
        <v>9.23</v>
      </c>
    </row>
    <row r="1749" spans="1:4" x14ac:dyDescent="0.45">
      <c r="A1749" s="7">
        <v>45369</v>
      </c>
      <c r="B1749" t="s">
        <v>97</v>
      </c>
      <c r="C1749" t="s">
        <v>107</v>
      </c>
      <c r="D1749" s="8">
        <v>337.75</v>
      </c>
    </row>
    <row r="1750" spans="1:4" x14ac:dyDescent="0.45">
      <c r="A1750" s="7">
        <v>45820</v>
      </c>
      <c r="B1750" t="s">
        <v>95</v>
      </c>
      <c r="C1750" t="s">
        <v>99</v>
      </c>
      <c r="D1750" s="8">
        <v>389.53</v>
      </c>
    </row>
    <row r="1751" spans="1:4" x14ac:dyDescent="0.45">
      <c r="A1751" s="7">
        <v>45292</v>
      </c>
      <c r="B1751" t="s">
        <v>93</v>
      </c>
      <c r="C1751" t="s">
        <v>100</v>
      </c>
      <c r="D1751" s="8">
        <v>-39.9</v>
      </c>
    </row>
    <row r="1752" spans="1:4" x14ac:dyDescent="0.45">
      <c r="A1752" s="7">
        <v>45734</v>
      </c>
      <c r="B1752" t="s">
        <v>97</v>
      </c>
      <c r="C1752" t="s">
        <v>104</v>
      </c>
      <c r="D1752" s="8">
        <v>-120.16</v>
      </c>
    </row>
    <row r="1753" spans="1:4" x14ac:dyDescent="0.45">
      <c r="A1753" s="7">
        <v>45778</v>
      </c>
      <c r="B1753" t="s">
        <v>93</v>
      </c>
      <c r="C1753" t="s">
        <v>106</v>
      </c>
      <c r="D1753" s="8">
        <v>394.49</v>
      </c>
    </row>
    <row r="1754" spans="1:4" x14ac:dyDescent="0.45">
      <c r="A1754" s="7">
        <v>45963</v>
      </c>
      <c r="B1754" t="s">
        <v>93</v>
      </c>
      <c r="C1754" t="s">
        <v>106</v>
      </c>
      <c r="D1754" s="8">
        <v>95</v>
      </c>
    </row>
    <row r="1755" spans="1:4" x14ac:dyDescent="0.45">
      <c r="A1755" s="7">
        <v>45712</v>
      </c>
      <c r="B1755" t="s">
        <v>95</v>
      </c>
      <c r="C1755" t="s">
        <v>108</v>
      </c>
      <c r="D1755" s="8">
        <v>-12.01</v>
      </c>
    </row>
    <row r="1756" spans="1:4" x14ac:dyDescent="0.45">
      <c r="A1756" s="7">
        <v>45714</v>
      </c>
      <c r="B1756" t="s">
        <v>97</v>
      </c>
      <c r="C1756" t="s">
        <v>98</v>
      </c>
      <c r="D1756" s="8">
        <v>39.71</v>
      </c>
    </row>
    <row r="1757" spans="1:4" x14ac:dyDescent="0.45">
      <c r="A1757" s="7">
        <v>45608</v>
      </c>
      <c r="B1757" t="s">
        <v>95</v>
      </c>
      <c r="C1757" t="s">
        <v>99</v>
      </c>
      <c r="D1757" s="8">
        <v>-47.23</v>
      </c>
    </row>
    <row r="1758" spans="1:4" x14ac:dyDescent="0.45">
      <c r="A1758" s="7">
        <v>45702</v>
      </c>
      <c r="B1758" t="s">
        <v>97</v>
      </c>
      <c r="C1758" t="s">
        <v>104</v>
      </c>
      <c r="D1758" s="8">
        <v>119.63</v>
      </c>
    </row>
    <row r="1759" spans="1:4" x14ac:dyDescent="0.45">
      <c r="A1759" s="7">
        <v>45495</v>
      </c>
      <c r="B1759" t="s">
        <v>97</v>
      </c>
      <c r="C1759" t="s">
        <v>98</v>
      </c>
      <c r="D1759" s="8">
        <v>-106.57</v>
      </c>
    </row>
    <row r="1760" spans="1:4" x14ac:dyDescent="0.45">
      <c r="A1760" s="7">
        <v>45313</v>
      </c>
      <c r="B1760" t="s">
        <v>97</v>
      </c>
      <c r="C1760" t="s">
        <v>107</v>
      </c>
      <c r="D1760" s="8">
        <v>-77.099999999999994</v>
      </c>
    </row>
    <row r="1761" spans="1:4" x14ac:dyDescent="0.45">
      <c r="A1761" s="7">
        <v>46179</v>
      </c>
      <c r="B1761" t="s">
        <v>97</v>
      </c>
      <c r="C1761" t="s">
        <v>101</v>
      </c>
      <c r="D1761" s="8">
        <v>401.07</v>
      </c>
    </row>
    <row r="1762" spans="1:4" x14ac:dyDescent="0.45">
      <c r="A1762" s="7">
        <v>45612</v>
      </c>
      <c r="B1762" t="s">
        <v>93</v>
      </c>
      <c r="C1762" t="s">
        <v>100</v>
      </c>
      <c r="D1762" s="8">
        <v>216.49</v>
      </c>
    </row>
    <row r="1763" spans="1:4" x14ac:dyDescent="0.45">
      <c r="A1763" s="7">
        <v>45777</v>
      </c>
      <c r="B1763" t="s">
        <v>93</v>
      </c>
      <c r="C1763" t="s">
        <v>106</v>
      </c>
      <c r="D1763" s="8">
        <v>89.32</v>
      </c>
    </row>
    <row r="1764" spans="1:4" x14ac:dyDescent="0.45">
      <c r="A1764" s="7">
        <v>45955</v>
      </c>
      <c r="B1764" t="s">
        <v>95</v>
      </c>
      <c r="C1764" t="s">
        <v>99</v>
      </c>
      <c r="D1764" s="8">
        <v>152.83000000000001</v>
      </c>
    </row>
    <row r="1765" spans="1:4" x14ac:dyDescent="0.45">
      <c r="A1765" s="7">
        <v>45454</v>
      </c>
      <c r="B1765" t="s">
        <v>95</v>
      </c>
      <c r="C1765" t="s">
        <v>105</v>
      </c>
      <c r="D1765" s="8">
        <v>395.18</v>
      </c>
    </row>
    <row r="1766" spans="1:4" x14ac:dyDescent="0.45">
      <c r="A1766" s="7">
        <v>45702</v>
      </c>
      <c r="B1766" t="s">
        <v>93</v>
      </c>
      <c r="C1766" t="s">
        <v>106</v>
      </c>
      <c r="D1766" s="8">
        <v>-79.36</v>
      </c>
    </row>
    <row r="1767" spans="1:4" x14ac:dyDescent="0.45">
      <c r="A1767" s="7">
        <v>45871</v>
      </c>
      <c r="B1767" t="s">
        <v>97</v>
      </c>
      <c r="C1767" t="s">
        <v>98</v>
      </c>
      <c r="D1767" s="8">
        <v>-40.94</v>
      </c>
    </row>
    <row r="1768" spans="1:4" x14ac:dyDescent="0.45">
      <c r="A1768" s="7">
        <v>45713</v>
      </c>
      <c r="B1768" t="s">
        <v>93</v>
      </c>
      <c r="C1768" t="s">
        <v>100</v>
      </c>
      <c r="D1768" s="8">
        <v>125.99</v>
      </c>
    </row>
    <row r="1769" spans="1:4" x14ac:dyDescent="0.45">
      <c r="A1769" s="7">
        <v>45621</v>
      </c>
      <c r="B1769" t="s">
        <v>93</v>
      </c>
      <c r="C1769" t="s">
        <v>100</v>
      </c>
      <c r="D1769" s="8">
        <v>435.78</v>
      </c>
    </row>
    <row r="1770" spans="1:4" x14ac:dyDescent="0.45">
      <c r="A1770" s="7">
        <v>45740</v>
      </c>
      <c r="B1770" t="s">
        <v>93</v>
      </c>
      <c r="C1770" t="s">
        <v>100</v>
      </c>
      <c r="D1770" s="8">
        <v>-135</v>
      </c>
    </row>
    <row r="1771" spans="1:4" x14ac:dyDescent="0.45">
      <c r="A1771" s="7">
        <v>45445</v>
      </c>
      <c r="B1771" t="s">
        <v>95</v>
      </c>
      <c r="C1771" t="s">
        <v>109</v>
      </c>
      <c r="D1771" s="8">
        <v>496.37</v>
      </c>
    </row>
    <row r="1772" spans="1:4" x14ac:dyDescent="0.45">
      <c r="A1772" s="7">
        <v>45729</v>
      </c>
      <c r="B1772" t="s">
        <v>95</v>
      </c>
      <c r="C1772" t="s">
        <v>105</v>
      </c>
      <c r="D1772" s="8">
        <v>104.98</v>
      </c>
    </row>
    <row r="1773" spans="1:4" x14ac:dyDescent="0.45">
      <c r="A1773" s="7">
        <v>45680</v>
      </c>
      <c r="B1773" t="s">
        <v>95</v>
      </c>
      <c r="C1773" t="s">
        <v>109</v>
      </c>
      <c r="D1773" s="8">
        <v>107.98</v>
      </c>
    </row>
    <row r="1774" spans="1:4" x14ac:dyDescent="0.45">
      <c r="A1774" s="7">
        <v>45492</v>
      </c>
      <c r="B1774" t="s">
        <v>93</v>
      </c>
      <c r="C1774" t="s">
        <v>103</v>
      </c>
      <c r="D1774" s="8">
        <v>85.9</v>
      </c>
    </row>
    <row r="1775" spans="1:4" x14ac:dyDescent="0.45">
      <c r="A1775" s="7">
        <v>45364</v>
      </c>
      <c r="B1775" t="s">
        <v>95</v>
      </c>
      <c r="C1775" t="s">
        <v>102</v>
      </c>
      <c r="D1775" s="8">
        <v>300.20999999999998</v>
      </c>
    </row>
    <row r="1776" spans="1:4" x14ac:dyDescent="0.45">
      <c r="A1776" s="7">
        <v>45442</v>
      </c>
      <c r="B1776" t="s">
        <v>95</v>
      </c>
      <c r="C1776" t="s">
        <v>96</v>
      </c>
      <c r="D1776" s="8">
        <v>280.45999999999998</v>
      </c>
    </row>
    <row r="1777" spans="1:4" x14ac:dyDescent="0.45">
      <c r="A1777" s="7">
        <v>45564</v>
      </c>
      <c r="B1777" t="s">
        <v>93</v>
      </c>
      <c r="C1777" t="s">
        <v>106</v>
      </c>
      <c r="D1777" s="8">
        <v>307.88</v>
      </c>
    </row>
    <row r="1778" spans="1:4" x14ac:dyDescent="0.45">
      <c r="A1778" s="7">
        <v>46068</v>
      </c>
      <c r="B1778" t="s">
        <v>97</v>
      </c>
      <c r="C1778" t="s">
        <v>101</v>
      </c>
      <c r="D1778" s="8">
        <v>218.96</v>
      </c>
    </row>
    <row r="1779" spans="1:4" x14ac:dyDescent="0.45">
      <c r="A1779" s="7">
        <v>45342</v>
      </c>
      <c r="B1779" t="s">
        <v>95</v>
      </c>
      <c r="C1779" t="s">
        <v>108</v>
      </c>
      <c r="D1779" s="8">
        <v>357.24</v>
      </c>
    </row>
    <row r="1780" spans="1:4" x14ac:dyDescent="0.45">
      <c r="A1780" s="7">
        <v>45439</v>
      </c>
      <c r="B1780" t="s">
        <v>93</v>
      </c>
      <c r="C1780" t="s">
        <v>94</v>
      </c>
      <c r="D1780" s="8">
        <v>409.08</v>
      </c>
    </row>
    <row r="1781" spans="1:4" x14ac:dyDescent="0.45">
      <c r="A1781" s="7">
        <v>45783</v>
      </c>
      <c r="B1781" t="s">
        <v>95</v>
      </c>
      <c r="C1781" t="s">
        <v>99</v>
      </c>
      <c r="D1781" s="8">
        <v>213.23</v>
      </c>
    </row>
    <row r="1782" spans="1:4" x14ac:dyDescent="0.45">
      <c r="A1782" s="7">
        <v>45606</v>
      </c>
      <c r="B1782" t="s">
        <v>93</v>
      </c>
      <c r="C1782" t="s">
        <v>106</v>
      </c>
      <c r="D1782" s="8">
        <v>105.18</v>
      </c>
    </row>
    <row r="1783" spans="1:4" x14ac:dyDescent="0.45">
      <c r="A1783" s="7">
        <v>45706</v>
      </c>
      <c r="B1783" t="s">
        <v>97</v>
      </c>
      <c r="C1783" t="s">
        <v>104</v>
      </c>
      <c r="D1783" s="8">
        <v>190.86</v>
      </c>
    </row>
    <row r="1784" spans="1:4" x14ac:dyDescent="0.45">
      <c r="A1784" s="7">
        <v>46176</v>
      </c>
      <c r="B1784" t="s">
        <v>97</v>
      </c>
      <c r="C1784" t="s">
        <v>107</v>
      </c>
      <c r="D1784" s="8">
        <v>149.62</v>
      </c>
    </row>
    <row r="1785" spans="1:4" x14ac:dyDescent="0.45">
      <c r="A1785" s="7">
        <v>46102</v>
      </c>
      <c r="B1785" t="s">
        <v>95</v>
      </c>
      <c r="C1785" t="s">
        <v>105</v>
      </c>
      <c r="D1785" s="8">
        <v>197.24</v>
      </c>
    </row>
    <row r="1786" spans="1:4" x14ac:dyDescent="0.45">
      <c r="A1786" s="7">
        <v>45404</v>
      </c>
      <c r="B1786" t="s">
        <v>95</v>
      </c>
      <c r="C1786" t="s">
        <v>109</v>
      </c>
      <c r="D1786" s="8">
        <v>210.95</v>
      </c>
    </row>
    <row r="1787" spans="1:4" x14ac:dyDescent="0.45">
      <c r="A1787" s="7">
        <v>45493</v>
      </c>
      <c r="B1787" t="s">
        <v>95</v>
      </c>
      <c r="C1787" t="s">
        <v>109</v>
      </c>
      <c r="D1787" s="8">
        <v>322.44</v>
      </c>
    </row>
    <row r="1788" spans="1:4" x14ac:dyDescent="0.45">
      <c r="A1788" s="7">
        <v>45557</v>
      </c>
      <c r="B1788" t="s">
        <v>95</v>
      </c>
      <c r="C1788" t="s">
        <v>105</v>
      </c>
      <c r="D1788" s="8">
        <v>367.58</v>
      </c>
    </row>
    <row r="1789" spans="1:4" x14ac:dyDescent="0.45">
      <c r="A1789" s="7">
        <v>46184</v>
      </c>
      <c r="B1789" t="s">
        <v>95</v>
      </c>
      <c r="C1789" t="s">
        <v>105</v>
      </c>
      <c r="D1789" s="8">
        <v>426.57</v>
      </c>
    </row>
    <row r="1790" spans="1:4" x14ac:dyDescent="0.45">
      <c r="A1790" s="7">
        <v>45772</v>
      </c>
      <c r="B1790" t="s">
        <v>97</v>
      </c>
      <c r="C1790" t="s">
        <v>104</v>
      </c>
      <c r="D1790" s="8">
        <v>279.8</v>
      </c>
    </row>
    <row r="1791" spans="1:4" x14ac:dyDescent="0.45">
      <c r="A1791" s="7">
        <v>46183</v>
      </c>
      <c r="B1791" t="s">
        <v>93</v>
      </c>
      <c r="C1791" t="s">
        <v>106</v>
      </c>
      <c r="D1791" s="8">
        <v>30.8</v>
      </c>
    </row>
    <row r="1792" spans="1:4" x14ac:dyDescent="0.45">
      <c r="A1792" s="7">
        <v>45653</v>
      </c>
      <c r="B1792" t="s">
        <v>97</v>
      </c>
      <c r="C1792" t="s">
        <v>107</v>
      </c>
      <c r="D1792" s="8">
        <v>248.25</v>
      </c>
    </row>
    <row r="1793" spans="1:4" x14ac:dyDescent="0.45">
      <c r="A1793" s="7">
        <v>46176</v>
      </c>
      <c r="B1793" t="s">
        <v>95</v>
      </c>
      <c r="C1793" t="s">
        <v>99</v>
      </c>
      <c r="D1793" s="8">
        <v>448.61</v>
      </c>
    </row>
    <row r="1794" spans="1:4" x14ac:dyDescent="0.45">
      <c r="A1794" s="7">
        <v>46079</v>
      </c>
      <c r="B1794" t="s">
        <v>95</v>
      </c>
      <c r="C1794" t="s">
        <v>99</v>
      </c>
      <c r="D1794" s="8">
        <v>-3.33</v>
      </c>
    </row>
    <row r="1795" spans="1:4" x14ac:dyDescent="0.45">
      <c r="A1795" s="7">
        <v>45675</v>
      </c>
      <c r="B1795" t="s">
        <v>93</v>
      </c>
      <c r="C1795" t="s">
        <v>103</v>
      </c>
      <c r="D1795" s="8">
        <v>56.47</v>
      </c>
    </row>
    <row r="1796" spans="1:4" x14ac:dyDescent="0.45">
      <c r="A1796" s="7">
        <v>45467</v>
      </c>
      <c r="B1796" t="s">
        <v>97</v>
      </c>
      <c r="C1796" t="s">
        <v>98</v>
      </c>
      <c r="D1796" s="8">
        <v>187.02</v>
      </c>
    </row>
    <row r="1797" spans="1:4" x14ac:dyDescent="0.45">
      <c r="A1797" s="7">
        <v>45450</v>
      </c>
      <c r="B1797" t="s">
        <v>95</v>
      </c>
      <c r="C1797" t="s">
        <v>109</v>
      </c>
      <c r="D1797" s="8">
        <v>-63.11</v>
      </c>
    </row>
    <row r="1798" spans="1:4" x14ac:dyDescent="0.45">
      <c r="A1798" s="7">
        <v>46021</v>
      </c>
      <c r="B1798" t="s">
        <v>97</v>
      </c>
      <c r="C1798" t="s">
        <v>107</v>
      </c>
      <c r="D1798" s="8">
        <v>371.56</v>
      </c>
    </row>
    <row r="1799" spans="1:4" x14ac:dyDescent="0.45">
      <c r="A1799" s="7">
        <v>46088</v>
      </c>
      <c r="B1799" t="s">
        <v>93</v>
      </c>
      <c r="C1799" t="s">
        <v>106</v>
      </c>
      <c r="D1799" s="8">
        <v>-15.91</v>
      </c>
    </row>
    <row r="1800" spans="1:4" x14ac:dyDescent="0.45">
      <c r="A1800" s="7">
        <v>46190</v>
      </c>
      <c r="B1800" t="s">
        <v>97</v>
      </c>
      <c r="C1800" t="s">
        <v>101</v>
      </c>
      <c r="D1800" s="8">
        <v>235.99</v>
      </c>
    </row>
    <row r="1801" spans="1:4" x14ac:dyDescent="0.45">
      <c r="A1801" s="7">
        <v>45318</v>
      </c>
      <c r="B1801" t="s">
        <v>95</v>
      </c>
      <c r="C1801" t="s">
        <v>108</v>
      </c>
      <c r="D1801" s="8">
        <v>330.45</v>
      </c>
    </row>
    <row r="1802" spans="1:4" x14ac:dyDescent="0.45">
      <c r="A1802" s="7">
        <v>45858</v>
      </c>
      <c r="B1802" t="s">
        <v>97</v>
      </c>
      <c r="C1802" t="s">
        <v>107</v>
      </c>
      <c r="D1802" s="8">
        <v>91.91</v>
      </c>
    </row>
    <row r="1803" spans="1:4" x14ac:dyDescent="0.45">
      <c r="A1803" s="7">
        <v>45746</v>
      </c>
      <c r="B1803" t="s">
        <v>93</v>
      </c>
      <c r="C1803" t="s">
        <v>94</v>
      </c>
      <c r="D1803" s="8">
        <v>373.17</v>
      </c>
    </row>
    <row r="1804" spans="1:4" x14ac:dyDescent="0.45">
      <c r="A1804" s="7">
        <v>46070</v>
      </c>
      <c r="B1804" t="s">
        <v>95</v>
      </c>
      <c r="C1804" t="s">
        <v>99</v>
      </c>
      <c r="D1804" s="8">
        <v>49.55</v>
      </c>
    </row>
    <row r="1805" spans="1:4" x14ac:dyDescent="0.45">
      <c r="A1805" s="7">
        <v>45544</v>
      </c>
      <c r="B1805" t="s">
        <v>95</v>
      </c>
      <c r="C1805" t="s">
        <v>99</v>
      </c>
      <c r="D1805" s="8">
        <v>-38.54</v>
      </c>
    </row>
    <row r="1806" spans="1:4" x14ac:dyDescent="0.45">
      <c r="A1806" s="7">
        <v>45422</v>
      </c>
      <c r="B1806" t="s">
        <v>93</v>
      </c>
      <c r="C1806" t="s">
        <v>103</v>
      </c>
      <c r="D1806" s="8">
        <v>117.28</v>
      </c>
    </row>
    <row r="1807" spans="1:4" x14ac:dyDescent="0.45">
      <c r="A1807" s="7">
        <v>46016</v>
      </c>
      <c r="B1807" t="s">
        <v>97</v>
      </c>
      <c r="C1807" t="s">
        <v>107</v>
      </c>
      <c r="D1807" s="8">
        <v>0.1</v>
      </c>
    </row>
    <row r="1808" spans="1:4" x14ac:dyDescent="0.45">
      <c r="A1808" s="7">
        <v>45695</v>
      </c>
      <c r="B1808" t="s">
        <v>95</v>
      </c>
      <c r="C1808" t="s">
        <v>108</v>
      </c>
      <c r="D1808" s="8">
        <v>298.33999999999997</v>
      </c>
    </row>
    <row r="1809" spans="1:4" x14ac:dyDescent="0.45">
      <c r="A1809" s="7">
        <v>45843</v>
      </c>
      <c r="B1809" t="s">
        <v>95</v>
      </c>
      <c r="C1809" t="s">
        <v>108</v>
      </c>
      <c r="D1809" s="8">
        <v>492.88</v>
      </c>
    </row>
    <row r="1810" spans="1:4" x14ac:dyDescent="0.45">
      <c r="A1810" s="7">
        <v>45930</v>
      </c>
      <c r="B1810" t="s">
        <v>97</v>
      </c>
      <c r="C1810" t="s">
        <v>104</v>
      </c>
      <c r="D1810" s="8">
        <v>393.6</v>
      </c>
    </row>
    <row r="1811" spans="1:4" x14ac:dyDescent="0.45">
      <c r="A1811" s="7">
        <v>45766</v>
      </c>
      <c r="B1811" t="s">
        <v>93</v>
      </c>
      <c r="C1811" t="s">
        <v>100</v>
      </c>
      <c r="D1811" s="8">
        <v>286.57</v>
      </c>
    </row>
    <row r="1812" spans="1:4" x14ac:dyDescent="0.45">
      <c r="A1812" s="7">
        <v>45805</v>
      </c>
      <c r="B1812" t="s">
        <v>95</v>
      </c>
      <c r="C1812" t="s">
        <v>102</v>
      </c>
      <c r="D1812" s="8">
        <v>446.96</v>
      </c>
    </row>
    <row r="1813" spans="1:4" x14ac:dyDescent="0.45">
      <c r="A1813" s="7">
        <v>45862</v>
      </c>
      <c r="B1813" t="s">
        <v>93</v>
      </c>
      <c r="C1813" t="s">
        <v>100</v>
      </c>
      <c r="D1813" s="8">
        <v>217.57</v>
      </c>
    </row>
    <row r="1814" spans="1:4" x14ac:dyDescent="0.45">
      <c r="A1814" s="7">
        <v>45637</v>
      </c>
      <c r="B1814" t="s">
        <v>97</v>
      </c>
      <c r="C1814" t="s">
        <v>98</v>
      </c>
      <c r="D1814" s="8">
        <v>145.21</v>
      </c>
    </row>
    <row r="1815" spans="1:4" x14ac:dyDescent="0.45">
      <c r="A1815" s="7">
        <v>45549</v>
      </c>
      <c r="B1815" t="s">
        <v>97</v>
      </c>
      <c r="C1815" t="s">
        <v>98</v>
      </c>
      <c r="D1815" s="8">
        <v>272.10000000000002</v>
      </c>
    </row>
    <row r="1816" spans="1:4" x14ac:dyDescent="0.45">
      <c r="A1816" s="7">
        <v>45836</v>
      </c>
      <c r="B1816" t="s">
        <v>93</v>
      </c>
      <c r="C1816" t="s">
        <v>94</v>
      </c>
      <c r="D1816" s="8">
        <v>434.92</v>
      </c>
    </row>
    <row r="1817" spans="1:4" x14ac:dyDescent="0.45">
      <c r="A1817" s="7">
        <v>45377</v>
      </c>
      <c r="B1817" t="s">
        <v>93</v>
      </c>
      <c r="C1817" t="s">
        <v>94</v>
      </c>
      <c r="D1817" s="8">
        <v>449.07</v>
      </c>
    </row>
    <row r="1818" spans="1:4" x14ac:dyDescent="0.45">
      <c r="A1818" s="7">
        <v>46191</v>
      </c>
      <c r="B1818" t="s">
        <v>97</v>
      </c>
      <c r="C1818" t="s">
        <v>104</v>
      </c>
      <c r="D1818" s="8">
        <v>237.85</v>
      </c>
    </row>
    <row r="1819" spans="1:4" x14ac:dyDescent="0.45">
      <c r="A1819" s="7">
        <v>45932</v>
      </c>
      <c r="B1819" t="s">
        <v>95</v>
      </c>
      <c r="C1819" t="s">
        <v>109</v>
      </c>
      <c r="D1819" s="8">
        <v>165.79</v>
      </c>
    </row>
    <row r="1820" spans="1:4" x14ac:dyDescent="0.45">
      <c r="A1820" s="7">
        <v>45926</v>
      </c>
      <c r="B1820" t="s">
        <v>97</v>
      </c>
      <c r="C1820" t="s">
        <v>104</v>
      </c>
      <c r="D1820" s="8">
        <v>284.38</v>
      </c>
    </row>
    <row r="1821" spans="1:4" x14ac:dyDescent="0.45">
      <c r="A1821" s="7">
        <v>45654</v>
      </c>
      <c r="B1821" t="s">
        <v>95</v>
      </c>
      <c r="C1821" t="s">
        <v>109</v>
      </c>
      <c r="D1821" s="8">
        <v>428.63</v>
      </c>
    </row>
    <row r="1822" spans="1:4" x14ac:dyDescent="0.45">
      <c r="A1822" s="7">
        <v>45750</v>
      </c>
      <c r="B1822" t="s">
        <v>95</v>
      </c>
      <c r="C1822" t="s">
        <v>109</v>
      </c>
      <c r="D1822" s="8">
        <v>466.09</v>
      </c>
    </row>
    <row r="1823" spans="1:4" x14ac:dyDescent="0.45">
      <c r="A1823" s="7">
        <v>45827</v>
      </c>
      <c r="B1823" t="s">
        <v>97</v>
      </c>
      <c r="C1823" t="s">
        <v>98</v>
      </c>
      <c r="D1823" s="8">
        <v>87.69</v>
      </c>
    </row>
    <row r="1824" spans="1:4" x14ac:dyDescent="0.45">
      <c r="A1824" s="7">
        <v>45649</v>
      </c>
      <c r="B1824" t="s">
        <v>95</v>
      </c>
      <c r="C1824" t="s">
        <v>102</v>
      </c>
      <c r="D1824" s="8">
        <v>-115.19</v>
      </c>
    </row>
    <row r="1825" spans="1:4" x14ac:dyDescent="0.45">
      <c r="A1825" s="7">
        <v>45565</v>
      </c>
      <c r="B1825" t="s">
        <v>93</v>
      </c>
      <c r="C1825" t="s">
        <v>100</v>
      </c>
      <c r="D1825" s="8">
        <v>146.76</v>
      </c>
    </row>
    <row r="1826" spans="1:4" x14ac:dyDescent="0.45">
      <c r="A1826" s="7">
        <v>45480</v>
      </c>
      <c r="B1826" t="s">
        <v>95</v>
      </c>
      <c r="C1826" t="s">
        <v>102</v>
      </c>
      <c r="D1826" s="8">
        <v>465.6</v>
      </c>
    </row>
    <row r="1827" spans="1:4" x14ac:dyDescent="0.45">
      <c r="A1827" s="7">
        <v>45335</v>
      </c>
      <c r="B1827" t="s">
        <v>97</v>
      </c>
      <c r="C1827" t="s">
        <v>98</v>
      </c>
      <c r="D1827" s="8">
        <v>42</v>
      </c>
    </row>
    <row r="1828" spans="1:4" x14ac:dyDescent="0.45">
      <c r="A1828" s="7">
        <v>45987</v>
      </c>
      <c r="B1828" t="s">
        <v>97</v>
      </c>
      <c r="C1828" t="s">
        <v>98</v>
      </c>
      <c r="D1828" s="8">
        <v>246.58</v>
      </c>
    </row>
    <row r="1829" spans="1:4" x14ac:dyDescent="0.45">
      <c r="A1829" s="7">
        <v>45864</v>
      </c>
      <c r="B1829" t="s">
        <v>97</v>
      </c>
      <c r="C1829" t="s">
        <v>98</v>
      </c>
      <c r="D1829" s="8">
        <v>270.08999999999997</v>
      </c>
    </row>
    <row r="1830" spans="1:4" x14ac:dyDescent="0.45">
      <c r="A1830" s="7">
        <v>45465</v>
      </c>
      <c r="B1830" t="s">
        <v>93</v>
      </c>
      <c r="C1830" t="s">
        <v>100</v>
      </c>
      <c r="D1830" s="8">
        <v>252.27</v>
      </c>
    </row>
    <row r="1831" spans="1:4" x14ac:dyDescent="0.45">
      <c r="A1831" s="7">
        <v>45431</v>
      </c>
      <c r="B1831" t="s">
        <v>95</v>
      </c>
      <c r="C1831" t="s">
        <v>109</v>
      </c>
      <c r="D1831" s="8">
        <v>-10</v>
      </c>
    </row>
    <row r="1832" spans="1:4" x14ac:dyDescent="0.45">
      <c r="A1832" s="7">
        <v>46106</v>
      </c>
      <c r="B1832" t="s">
        <v>93</v>
      </c>
      <c r="C1832" t="s">
        <v>100</v>
      </c>
      <c r="D1832" s="8">
        <v>499.44</v>
      </c>
    </row>
    <row r="1833" spans="1:4" x14ac:dyDescent="0.45">
      <c r="A1833" s="7">
        <v>46052</v>
      </c>
      <c r="B1833" t="s">
        <v>95</v>
      </c>
      <c r="C1833" t="s">
        <v>108</v>
      </c>
      <c r="D1833" s="8">
        <v>400.6</v>
      </c>
    </row>
    <row r="1834" spans="1:4" x14ac:dyDescent="0.45">
      <c r="A1834" s="7">
        <v>45298</v>
      </c>
      <c r="B1834" t="s">
        <v>97</v>
      </c>
      <c r="C1834" t="s">
        <v>101</v>
      </c>
      <c r="D1834" s="8">
        <v>456.78</v>
      </c>
    </row>
    <row r="1835" spans="1:4" x14ac:dyDescent="0.45">
      <c r="A1835" s="7">
        <v>45689</v>
      </c>
      <c r="B1835" t="s">
        <v>93</v>
      </c>
      <c r="C1835" t="s">
        <v>106</v>
      </c>
      <c r="D1835" s="8">
        <v>408.41</v>
      </c>
    </row>
    <row r="1836" spans="1:4" x14ac:dyDescent="0.45">
      <c r="A1836" s="7">
        <v>45835</v>
      </c>
      <c r="B1836" t="s">
        <v>95</v>
      </c>
      <c r="C1836" t="s">
        <v>108</v>
      </c>
      <c r="D1836" s="8">
        <v>110.88</v>
      </c>
    </row>
    <row r="1837" spans="1:4" x14ac:dyDescent="0.45">
      <c r="A1837" s="7">
        <v>45362</v>
      </c>
      <c r="B1837" t="s">
        <v>95</v>
      </c>
      <c r="C1837" t="s">
        <v>105</v>
      </c>
      <c r="D1837" s="8">
        <v>-136.68</v>
      </c>
    </row>
    <row r="1838" spans="1:4" x14ac:dyDescent="0.45">
      <c r="A1838" s="7">
        <v>45374</v>
      </c>
      <c r="B1838" t="s">
        <v>93</v>
      </c>
      <c r="C1838" t="s">
        <v>94</v>
      </c>
      <c r="D1838" s="8">
        <v>404.81</v>
      </c>
    </row>
    <row r="1839" spans="1:4" x14ac:dyDescent="0.45">
      <c r="A1839" s="7">
        <v>45365</v>
      </c>
      <c r="B1839" t="s">
        <v>95</v>
      </c>
      <c r="C1839" t="s">
        <v>96</v>
      </c>
      <c r="D1839" s="8">
        <v>87.47</v>
      </c>
    </row>
    <row r="1840" spans="1:4" x14ac:dyDescent="0.45">
      <c r="A1840" s="7">
        <v>45454</v>
      </c>
      <c r="B1840" t="s">
        <v>95</v>
      </c>
      <c r="C1840" t="s">
        <v>105</v>
      </c>
      <c r="D1840" s="8">
        <v>414.15</v>
      </c>
    </row>
    <row r="1841" spans="1:4" x14ac:dyDescent="0.45">
      <c r="A1841" s="7">
        <v>45678</v>
      </c>
      <c r="B1841" t="s">
        <v>93</v>
      </c>
      <c r="C1841" t="s">
        <v>94</v>
      </c>
      <c r="D1841" s="8">
        <v>-17.760000000000002</v>
      </c>
    </row>
    <row r="1842" spans="1:4" x14ac:dyDescent="0.45">
      <c r="A1842" s="7">
        <v>45700</v>
      </c>
      <c r="B1842" t="s">
        <v>93</v>
      </c>
      <c r="C1842" t="s">
        <v>100</v>
      </c>
      <c r="D1842" s="8">
        <v>17.21</v>
      </c>
    </row>
    <row r="1843" spans="1:4" x14ac:dyDescent="0.45">
      <c r="A1843" s="7">
        <v>46040</v>
      </c>
      <c r="B1843" t="s">
        <v>93</v>
      </c>
      <c r="C1843" t="s">
        <v>106</v>
      </c>
      <c r="D1843" s="8">
        <v>-74.53</v>
      </c>
    </row>
    <row r="1844" spans="1:4" x14ac:dyDescent="0.45">
      <c r="A1844" s="7">
        <v>45305</v>
      </c>
      <c r="B1844" t="s">
        <v>93</v>
      </c>
      <c r="C1844" t="s">
        <v>103</v>
      </c>
      <c r="D1844" s="8">
        <v>-26</v>
      </c>
    </row>
    <row r="1845" spans="1:4" x14ac:dyDescent="0.45">
      <c r="A1845" s="7">
        <v>45646</v>
      </c>
      <c r="B1845" t="s">
        <v>97</v>
      </c>
      <c r="C1845" t="s">
        <v>101</v>
      </c>
      <c r="D1845" s="8">
        <v>207.41</v>
      </c>
    </row>
    <row r="1846" spans="1:4" x14ac:dyDescent="0.45">
      <c r="A1846" s="7">
        <v>46112</v>
      </c>
      <c r="B1846" t="s">
        <v>97</v>
      </c>
      <c r="C1846" t="s">
        <v>104</v>
      </c>
      <c r="D1846" s="8">
        <v>176.64</v>
      </c>
    </row>
    <row r="1847" spans="1:4" x14ac:dyDescent="0.45">
      <c r="A1847" s="7">
        <v>45430</v>
      </c>
      <c r="B1847" t="s">
        <v>93</v>
      </c>
      <c r="C1847" t="s">
        <v>106</v>
      </c>
      <c r="D1847" s="8">
        <v>387.83</v>
      </c>
    </row>
    <row r="1848" spans="1:4" x14ac:dyDescent="0.45">
      <c r="A1848" s="7">
        <v>46173</v>
      </c>
      <c r="B1848" t="s">
        <v>97</v>
      </c>
      <c r="C1848" t="s">
        <v>104</v>
      </c>
      <c r="D1848" s="8">
        <v>349.37</v>
      </c>
    </row>
    <row r="1849" spans="1:4" x14ac:dyDescent="0.45">
      <c r="A1849" s="7">
        <v>45879</v>
      </c>
      <c r="B1849" t="s">
        <v>97</v>
      </c>
      <c r="C1849" t="s">
        <v>98</v>
      </c>
      <c r="D1849" s="8">
        <v>328.45</v>
      </c>
    </row>
    <row r="1850" spans="1:4" x14ac:dyDescent="0.45">
      <c r="A1850" s="7">
        <v>46050</v>
      </c>
      <c r="B1850" t="s">
        <v>93</v>
      </c>
      <c r="C1850" t="s">
        <v>106</v>
      </c>
      <c r="D1850" s="8">
        <v>-107.28</v>
      </c>
    </row>
    <row r="1851" spans="1:4" x14ac:dyDescent="0.45">
      <c r="A1851" s="7">
        <v>45319</v>
      </c>
      <c r="B1851" t="s">
        <v>97</v>
      </c>
      <c r="C1851" t="s">
        <v>101</v>
      </c>
      <c r="D1851" s="8">
        <v>294.42</v>
      </c>
    </row>
    <row r="1852" spans="1:4" x14ac:dyDescent="0.45">
      <c r="A1852" s="7">
        <v>46046</v>
      </c>
      <c r="B1852" t="s">
        <v>95</v>
      </c>
      <c r="C1852" t="s">
        <v>105</v>
      </c>
      <c r="D1852" s="8">
        <v>394.73</v>
      </c>
    </row>
    <row r="1853" spans="1:4" x14ac:dyDescent="0.45">
      <c r="A1853" s="7">
        <v>46080</v>
      </c>
      <c r="B1853" t="s">
        <v>93</v>
      </c>
      <c r="C1853" t="s">
        <v>94</v>
      </c>
      <c r="D1853" s="8">
        <v>67.459999999999994</v>
      </c>
    </row>
    <row r="1854" spans="1:4" x14ac:dyDescent="0.45">
      <c r="A1854" s="7">
        <v>45748</v>
      </c>
      <c r="B1854" t="s">
        <v>93</v>
      </c>
      <c r="C1854" t="s">
        <v>106</v>
      </c>
      <c r="D1854" s="8">
        <v>60.94</v>
      </c>
    </row>
    <row r="1855" spans="1:4" x14ac:dyDescent="0.45">
      <c r="A1855" s="7">
        <v>45408</v>
      </c>
      <c r="B1855" t="s">
        <v>95</v>
      </c>
      <c r="C1855" t="s">
        <v>96</v>
      </c>
      <c r="D1855" s="8">
        <v>-88.71</v>
      </c>
    </row>
    <row r="1856" spans="1:4" x14ac:dyDescent="0.45">
      <c r="A1856" s="7">
        <v>46005</v>
      </c>
      <c r="B1856" t="s">
        <v>93</v>
      </c>
      <c r="C1856" t="s">
        <v>103</v>
      </c>
      <c r="D1856" s="8">
        <v>396.2</v>
      </c>
    </row>
    <row r="1857" spans="1:4" x14ac:dyDescent="0.45">
      <c r="A1857" s="7">
        <v>45441</v>
      </c>
      <c r="B1857" t="s">
        <v>97</v>
      </c>
      <c r="C1857" t="s">
        <v>104</v>
      </c>
      <c r="D1857" s="8">
        <v>370.56</v>
      </c>
    </row>
    <row r="1858" spans="1:4" x14ac:dyDescent="0.45">
      <c r="A1858" s="7">
        <v>45835</v>
      </c>
      <c r="B1858" t="s">
        <v>97</v>
      </c>
      <c r="C1858" t="s">
        <v>104</v>
      </c>
      <c r="D1858" s="8">
        <v>339.77</v>
      </c>
    </row>
    <row r="1859" spans="1:4" x14ac:dyDescent="0.45">
      <c r="A1859" s="7">
        <v>45742</v>
      </c>
      <c r="B1859" t="s">
        <v>93</v>
      </c>
      <c r="C1859" t="s">
        <v>94</v>
      </c>
      <c r="D1859" s="8">
        <v>-16.57</v>
      </c>
    </row>
    <row r="1860" spans="1:4" x14ac:dyDescent="0.45">
      <c r="A1860" s="7">
        <v>45584</v>
      </c>
      <c r="B1860" t="s">
        <v>95</v>
      </c>
      <c r="C1860" t="s">
        <v>108</v>
      </c>
      <c r="D1860" s="8">
        <v>40.479999999999997</v>
      </c>
    </row>
    <row r="1861" spans="1:4" x14ac:dyDescent="0.45">
      <c r="A1861" s="7">
        <v>45483</v>
      </c>
      <c r="B1861" t="s">
        <v>93</v>
      </c>
      <c r="C1861" t="s">
        <v>100</v>
      </c>
      <c r="D1861" s="8">
        <v>206.71</v>
      </c>
    </row>
    <row r="1862" spans="1:4" x14ac:dyDescent="0.45">
      <c r="A1862" s="7">
        <v>45384</v>
      </c>
      <c r="B1862" t="s">
        <v>93</v>
      </c>
      <c r="C1862" t="s">
        <v>100</v>
      </c>
      <c r="D1862" s="8">
        <v>-3.74</v>
      </c>
    </row>
    <row r="1863" spans="1:4" x14ac:dyDescent="0.45">
      <c r="A1863" s="7">
        <v>45438</v>
      </c>
      <c r="B1863" t="s">
        <v>93</v>
      </c>
      <c r="C1863" t="s">
        <v>100</v>
      </c>
      <c r="D1863" s="8">
        <v>183.84</v>
      </c>
    </row>
    <row r="1864" spans="1:4" x14ac:dyDescent="0.45">
      <c r="A1864" s="7">
        <v>45789</v>
      </c>
      <c r="B1864" t="s">
        <v>95</v>
      </c>
      <c r="C1864" t="s">
        <v>105</v>
      </c>
      <c r="D1864" s="8">
        <v>6.45</v>
      </c>
    </row>
    <row r="1865" spans="1:4" x14ac:dyDescent="0.45">
      <c r="A1865" s="7">
        <v>46125</v>
      </c>
      <c r="B1865" t="s">
        <v>97</v>
      </c>
      <c r="C1865" t="s">
        <v>104</v>
      </c>
      <c r="D1865" s="8">
        <v>-148.91</v>
      </c>
    </row>
    <row r="1866" spans="1:4" x14ac:dyDescent="0.45">
      <c r="A1866" s="7">
        <v>45894</v>
      </c>
      <c r="B1866" t="s">
        <v>93</v>
      </c>
      <c r="C1866" t="s">
        <v>94</v>
      </c>
      <c r="D1866" s="8">
        <v>79.75</v>
      </c>
    </row>
    <row r="1867" spans="1:4" x14ac:dyDescent="0.45">
      <c r="A1867" s="7">
        <v>46080</v>
      </c>
      <c r="B1867" t="s">
        <v>93</v>
      </c>
      <c r="C1867" t="s">
        <v>100</v>
      </c>
      <c r="D1867" s="8">
        <v>488.35</v>
      </c>
    </row>
    <row r="1868" spans="1:4" x14ac:dyDescent="0.45">
      <c r="A1868" s="7">
        <v>45338</v>
      </c>
      <c r="B1868" t="s">
        <v>95</v>
      </c>
      <c r="C1868" t="s">
        <v>96</v>
      </c>
      <c r="D1868" s="8">
        <v>267.61</v>
      </c>
    </row>
    <row r="1869" spans="1:4" x14ac:dyDescent="0.45">
      <c r="A1869" s="7">
        <v>45367</v>
      </c>
      <c r="B1869" t="s">
        <v>93</v>
      </c>
      <c r="C1869" t="s">
        <v>94</v>
      </c>
      <c r="D1869" s="8">
        <v>-54.28</v>
      </c>
    </row>
    <row r="1870" spans="1:4" x14ac:dyDescent="0.45">
      <c r="A1870" s="7">
        <v>46172</v>
      </c>
      <c r="B1870" t="s">
        <v>93</v>
      </c>
      <c r="C1870" t="s">
        <v>100</v>
      </c>
      <c r="D1870" s="8">
        <v>100.81</v>
      </c>
    </row>
    <row r="1871" spans="1:4" x14ac:dyDescent="0.45">
      <c r="A1871" s="7">
        <v>45339</v>
      </c>
      <c r="B1871" t="s">
        <v>95</v>
      </c>
      <c r="C1871" t="s">
        <v>109</v>
      </c>
      <c r="D1871" s="8">
        <v>153.9</v>
      </c>
    </row>
    <row r="1872" spans="1:4" x14ac:dyDescent="0.45">
      <c r="A1872" s="7">
        <v>45380</v>
      </c>
      <c r="B1872" t="s">
        <v>97</v>
      </c>
      <c r="C1872" t="s">
        <v>104</v>
      </c>
      <c r="D1872" s="8">
        <v>81.47</v>
      </c>
    </row>
    <row r="1873" spans="1:4" x14ac:dyDescent="0.45">
      <c r="A1873" s="7">
        <v>45792</v>
      </c>
      <c r="B1873" t="s">
        <v>95</v>
      </c>
      <c r="C1873" t="s">
        <v>105</v>
      </c>
      <c r="D1873" s="8">
        <v>392.56</v>
      </c>
    </row>
    <row r="1874" spans="1:4" x14ac:dyDescent="0.45">
      <c r="A1874" s="7">
        <v>45809</v>
      </c>
      <c r="B1874" t="s">
        <v>97</v>
      </c>
      <c r="C1874" t="s">
        <v>104</v>
      </c>
      <c r="D1874" s="8">
        <v>-55.52</v>
      </c>
    </row>
    <row r="1875" spans="1:4" x14ac:dyDescent="0.45">
      <c r="A1875" s="7">
        <v>45457</v>
      </c>
      <c r="B1875" t="s">
        <v>95</v>
      </c>
      <c r="C1875" t="s">
        <v>99</v>
      </c>
      <c r="D1875" s="8">
        <v>223.88</v>
      </c>
    </row>
    <row r="1876" spans="1:4" x14ac:dyDescent="0.45">
      <c r="A1876" s="7">
        <v>46175</v>
      </c>
      <c r="B1876" t="s">
        <v>97</v>
      </c>
      <c r="C1876" t="s">
        <v>98</v>
      </c>
      <c r="D1876" s="8">
        <v>351.91</v>
      </c>
    </row>
    <row r="1877" spans="1:4" x14ac:dyDescent="0.45">
      <c r="A1877" s="7">
        <v>45315</v>
      </c>
      <c r="B1877" t="s">
        <v>97</v>
      </c>
      <c r="C1877" t="s">
        <v>101</v>
      </c>
      <c r="D1877" s="8">
        <v>348.98</v>
      </c>
    </row>
    <row r="1878" spans="1:4" x14ac:dyDescent="0.45">
      <c r="A1878" s="7">
        <v>45846</v>
      </c>
      <c r="B1878" t="s">
        <v>97</v>
      </c>
      <c r="C1878" t="s">
        <v>104</v>
      </c>
      <c r="D1878" s="8">
        <v>-38.31</v>
      </c>
    </row>
    <row r="1879" spans="1:4" x14ac:dyDescent="0.45">
      <c r="A1879" s="7">
        <v>45561</v>
      </c>
      <c r="B1879" t="s">
        <v>95</v>
      </c>
      <c r="C1879" t="s">
        <v>108</v>
      </c>
      <c r="D1879" s="8">
        <v>369.5</v>
      </c>
    </row>
    <row r="1880" spans="1:4" x14ac:dyDescent="0.45">
      <c r="A1880" s="7">
        <v>45610</v>
      </c>
      <c r="B1880" t="s">
        <v>95</v>
      </c>
      <c r="C1880" t="s">
        <v>96</v>
      </c>
      <c r="D1880" s="8">
        <v>20.05</v>
      </c>
    </row>
    <row r="1881" spans="1:4" x14ac:dyDescent="0.45">
      <c r="A1881" s="7">
        <v>45548</v>
      </c>
      <c r="B1881" t="s">
        <v>93</v>
      </c>
      <c r="C1881" t="s">
        <v>100</v>
      </c>
      <c r="D1881" s="8">
        <v>134.65</v>
      </c>
    </row>
    <row r="1882" spans="1:4" x14ac:dyDescent="0.45">
      <c r="A1882" s="7">
        <v>45924</v>
      </c>
      <c r="B1882" t="s">
        <v>95</v>
      </c>
      <c r="C1882" t="s">
        <v>108</v>
      </c>
      <c r="D1882" s="8">
        <v>83.74</v>
      </c>
    </row>
    <row r="1883" spans="1:4" x14ac:dyDescent="0.45">
      <c r="A1883" s="7">
        <v>45647</v>
      </c>
      <c r="B1883" t="s">
        <v>97</v>
      </c>
      <c r="C1883" t="s">
        <v>101</v>
      </c>
      <c r="D1883" s="8">
        <v>48.72</v>
      </c>
    </row>
    <row r="1884" spans="1:4" x14ac:dyDescent="0.45">
      <c r="A1884" s="7">
        <v>46038</v>
      </c>
      <c r="B1884" t="s">
        <v>93</v>
      </c>
      <c r="C1884" t="s">
        <v>103</v>
      </c>
      <c r="D1884" s="8">
        <v>323.45</v>
      </c>
    </row>
    <row r="1885" spans="1:4" x14ac:dyDescent="0.45">
      <c r="A1885" s="7">
        <v>45561</v>
      </c>
      <c r="B1885" t="s">
        <v>95</v>
      </c>
      <c r="C1885" t="s">
        <v>96</v>
      </c>
      <c r="D1885" s="8">
        <v>-127.54</v>
      </c>
    </row>
    <row r="1886" spans="1:4" x14ac:dyDescent="0.45">
      <c r="A1886" s="7">
        <v>45495</v>
      </c>
      <c r="B1886" t="s">
        <v>95</v>
      </c>
      <c r="C1886" t="s">
        <v>109</v>
      </c>
      <c r="D1886" s="8">
        <v>-90.41</v>
      </c>
    </row>
    <row r="1887" spans="1:4" x14ac:dyDescent="0.45">
      <c r="A1887" s="7">
        <v>45686</v>
      </c>
      <c r="B1887" t="s">
        <v>93</v>
      </c>
      <c r="C1887" t="s">
        <v>106</v>
      </c>
      <c r="D1887" s="8">
        <v>341.88</v>
      </c>
    </row>
    <row r="1888" spans="1:4" x14ac:dyDescent="0.45">
      <c r="A1888" s="7">
        <v>46114</v>
      </c>
      <c r="B1888" t="s">
        <v>95</v>
      </c>
      <c r="C1888" t="s">
        <v>108</v>
      </c>
      <c r="D1888" s="8">
        <v>-103.53</v>
      </c>
    </row>
    <row r="1889" spans="1:4" x14ac:dyDescent="0.45">
      <c r="A1889" s="7">
        <v>46053</v>
      </c>
      <c r="B1889" t="s">
        <v>95</v>
      </c>
      <c r="C1889" t="s">
        <v>105</v>
      </c>
      <c r="D1889" s="8">
        <v>456.74</v>
      </c>
    </row>
    <row r="1890" spans="1:4" x14ac:dyDescent="0.45">
      <c r="A1890" s="7">
        <v>45515</v>
      </c>
      <c r="B1890" t="s">
        <v>95</v>
      </c>
      <c r="C1890" t="s">
        <v>109</v>
      </c>
      <c r="D1890" s="8">
        <v>11.72</v>
      </c>
    </row>
    <row r="1891" spans="1:4" x14ac:dyDescent="0.45">
      <c r="A1891" s="7">
        <v>45719</v>
      </c>
      <c r="B1891" t="s">
        <v>93</v>
      </c>
      <c r="C1891" t="s">
        <v>100</v>
      </c>
      <c r="D1891" s="8">
        <v>-56.56</v>
      </c>
    </row>
    <row r="1892" spans="1:4" x14ac:dyDescent="0.45">
      <c r="A1892" s="7">
        <v>45984</v>
      </c>
      <c r="B1892" t="s">
        <v>97</v>
      </c>
      <c r="C1892" t="s">
        <v>107</v>
      </c>
      <c r="D1892" s="8">
        <v>360.68</v>
      </c>
    </row>
    <row r="1893" spans="1:4" x14ac:dyDescent="0.45">
      <c r="A1893" s="7">
        <v>46059</v>
      </c>
      <c r="B1893" t="s">
        <v>95</v>
      </c>
      <c r="C1893" t="s">
        <v>105</v>
      </c>
      <c r="D1893" s="8">
        <v>-93.58</v>
      </c>
    </row>
    <row r="1894" spans="1:4" x14ac:dyDescent="0.45">
      <c r="A1894" s="7">
        <v>46104</v>
      </c>
      <c r="B1894" t="s">
        <v>97</v>
      </c>
      <c r="C1894" t="s">
        <v>98</v>
      </c>
      <c r="D1894" s="8">
        <v>290.18</v>
      </c>
    </row>
    <row r="1895" spans="1:4" x14ac:dyDescent="0.45">
      <c r="A1895" s="7">
        <v>45568</v>
      </c>
      <c r="B1895" t="s">
        <v>95</v>
      </c>
      <c r="C1895" t="s">
        <v>109</v>
      </c>
      <c r="D1895" s="8">
        <v>271.38</v>
      </c>
    </row>
    <row r="1896" spans="1:4" x14ac:dyDescent="0.45">
      <c r="A1896" s="7">
        <v>45678</v>
      </c>
      <c r="B1896" t="s">
        <v>95</v>
      </c>
      <c r="C1896" t="s">
        <v>96</v>
      </c>
      <c r="D1896" s="8">
        <v>81.25</v>
      </c>
    </row>
    <row r="1897" spans="1:4" x14ac:dyDescent="0.45">
      <c r="A1897" s="7">
        <v>46105</v>
      </c>
      <c r="B1897" t="s">
        <v>97</v>
      </c>
      <c r="C1897" t="s">
        <v>98</v>
      </c>
      <c r="D1897" s="8">
        <v>216.41</v>
      </c>
    </row>
    <row r="1898" spans="1:4" x14ac:dyDescent="0.45">
      <c r="A1898" s="7">
        <v>45464</v>
      </c>
      <c r="B1898" t="s">
        <v>93</v>
      </c>
      <c r="C1898" t="s">
        <v>103</v>
      </c>
      <c r="D1898" s="8">
        <v>107.13</v>
      </c>
    </row>
    <row r="1899" spans="1:4" x14ac:dyDescent="0.45">
      <c r="A1899" s="7">
        <v>46129</v>
      </c>
      <c r="B1899" t="s">
        <v>95</v>
      </c>
      <c r="C1899" t="s">
        <v>99</v>
      </c>
      <c r="D1899" s="8">
        <v>341.02</v>
      </c>
    </row>
    <row r="1900" spans="1:4" x14ac:dyDescent="0.45">
      <c r="A1900" s="7">
        <v>45821</v>
      </c>
      <c r="B1900" t="s">
        <v>97</v>
      </c>
      <c r="C1900" t="s">
        <v>101</v>
      </c>
      <c r="D1900" s="8">
        <v>352.11</v>
      </c>
    </row>
    <row r="1901" spans="1:4" x14ac:dyDescent="0.45">
      <c r="A1901" s="7">
        <v>45526</v>
      </c>
      <c r="B1901" t="s">
        <v>95</v>
      </c>
      <c r="C1901" t="s">
        <v>96</v>
      </c>
      <c r="D1901" s="8">
        <v>465.99</v>
      </c>
    </row>
    <row r="1902" spans="1:4" x14ac:dyDescent="0.45">
      <c r="A1902" s="7">
        <v>45834</v>
      </c>
      <c r="B1902" t="s">
        <v>95</v>
      </c>
      <c r="C1902" t="s">
        <v>109</v>
      </c>
      <c r="D1902" s="8">
        <v>436.45</v>
      </c>
    </row>
    <row r="1903" spans="1:4" x14ac:dyDescent="0.45">
      <c r="A1903" s="7">
        <v>45527</v>
      </c>
      <c r="B1903" t="s">
        <v>93</v>
      </c>
      <c r="C1903" t="s">
        <v>94</v>
      </c>
      <c r="D1903" s="8">
        <v>17.53</v>
      </c>
    </row>
    <row r="1904" spans="1:4" x14ac:dyDescent="0.45">
      <c r="A1904" s="7">
        <v>45623</v>
      </c>
      <c r="B1904" t="s">
        <v>97</v>
      </c>
      <c r="C1904" t="s">
        <v>101</v>
      </c>
      <c r="D1904" s="8">
        <v>446.55</v>
      </c>
    </row>
    <row r="1905" spans="1:4" x14ac:dyDescent="0.45">
      <c r="A1905" s="7">
        <v>46029</v>
      </c>
      <c r="B1905" t="s">
        <v>93</v>
      </c>
      <c r="C1905" t="s">
        <v>94</v>
      </c>
      <c r="D1905" s="8">
        <v>-146.78</v>
      </c>
    </row>
    <row r="1906" spans="1:4" x14ac:dyDescent="0.45">
      <c r="A1906" s="7">
        <v>45455</v>
      </c>
      <c r="B1906" t="s">
        <v>95</v>
      </c>
      <c r="C1906" t="s">
        <v>102</v>
      </c>
      <c r="D1906" s="8">
        <v>121.08</v>
      </c>
    </row>
    <row r="1907" spans="1:4" x14ac:dyDescent="0.45">
      <c r="A1907" s="7">
        <v>45930</v>
      </c>
      <c r="B1907" t="s">
        <v>95</v>
      </c>
      <c r="C1907" t="s">
        <v>105</v>
      </c>
      <c r="D1907" s="8">
        <v>249.47</v>
      </c>
    </row>
    <row r="1908" spans="1:4" x14ac:dyDescent="0.45">
      <c r="A1908" s="7">
        <v>46149</v>
      </c>
      <c r="B1908" t="s">
        <v>97</v>
      </c>
      <c r="C1908" t="s">
        <v>104</v>
      </c>
      <c r="D1908" s="8">
        <v>36.11</v>
      </c>
    </row>
    <row r="1909" spans="1:4" x14ac:dyDescent="0.45">
      <c r="A1909" s="7">
        <v>45307</v>
      </c>
      <c r="B1909" t="s">
        <v>95</v>
      </c>
      <c r="C1909" t="s">
        <v>96</v>
      </c>
      <c r="D1909" s="8">
        <v>-139.18</v>
      </c>
    </row>
    <row r="1910" spans="1:4" x14ac:dyDescent="0.45">
      <c r="A1910" s="7">
        <v>46097</v>
      </c>
      <c r="B1910" t="s">
        <v>93</v>
      </c>
      <c r="C1910" t="s">
        <v>100</v>
      </c>
      <c r="D1910" s="8">
        <v>201.62</v>
      </c>
    </row>
    <row r="1911" spans="1:4" x14ac:dyDescent="0.45">
      <c r="A1911" s="7">
        <v>45805</v>
      </c>
      <c r="B1911" t="s">
        <v>93</v>
      </c>
      <c r="C1911" t="s">
        <v>94</v>
      </c>
      <c r="D1911" s="8">
        <v>72.599999999999994</v>
      </c>
    </row>
    <row r="1912" spans="1:4" x14ac:dyDescent="0.45">
      <c r="A1912" s="7">
        <v>45404</v>
      </c>
      <c r="B1912" t="s">
        <v>93</v>
      </c>
      <c r="C1912" t="s">
        <v>103</v>
      </c>
      <c r="D1912" s="8">
        <v>137.54</v>
      </c>
    </row>
    <row r="1913" spans="1:4" x14ac:dyDescent="0.45">
      <c r="A1913" s="7">
        <v>45670</v>
      </c>
      <c r="B1913" t="s">
        <v>93</v>
      </c>
      <c r="C1913" t="s">
        <v>103</v>
      </c>
      <c r="D1913" s="8">
        <v>72.67</v>
      </c>
    </row>
    <row r="1914" spans="1:4" x14ac:dyDescent="0.45">
      <c r="A1914" s="7">
        <v>46065</v>
      </c>
      <c r="B1914" t="s">
        <v>93</v>
      </c>
      <c r="C1914" t="s">
        <v>94</v>
      </c>
      <c r="D1914" s="8">
        <v>143.9</v>
      </c>
    </row>
    <row r="1915" spans="1:4" x14ac:dyDescent="0.45">
      <c r="A1915" s="7">
        <v>46083</v>
      </c>
      <c r="B1915" t="s">
        <v>93</v>
      </c>
      <c r="C1915" t="s">
        <v>94</v>
      </c>
      <c r="D1915" s="8">
        <v>461.39</v>
      </c>
    </row>
    <row r="1916" spans="1:4" x14ac:dyDescent="0.45">
      <c r="A1916" s="7">
        <v>45359</v>
      </c>
      <c r="B1916" t="s">
        <v>93</v>
      </c>
      <c r="C1916" t="s">
        <v>94</v>
      </c>
      <c r="D1916" s="8">
        <v>-79.489999999999995</v>
      </c>
    </row>
    <row r="1917" spans="1:4" x14ac:dyDescent="0.45">
      <c r="A1917" s="7">
        <v>46021</v>
      </c>
      <c r="B1917" t="s">
        <v>93</v>
      </c>
      <c r="C1917" t="s">
        <v>103</v>
      </c>
      <c r="D1917" s="8">
        <v>166.54</v>
      </c>
    </row>
    <row r="1918" spans="1:4" x14ac:dyDescent="0.45">
      <c r="A1918" s="7">
        <v>45858</v>
      </c>
      <c r="B1918" t="s">
        <v>93</v>
      </c>
      <c r="C1918" t="s">
        <v>94</v>
      </c>
      <c r="D1918" s="8">
        <v>300.06</v>
      </c>
    </row>
    <row r="1919" spans="1:4" x14ac:dyDescent="0.45">
      <c r="A1919" s="7">
        <v>45360</v>
      </c>
      <c r="B1919" t="s">
        <v>93</v>
      </c>
      <c r="C1919" t="s">
        <v>103</v>
      </c>
      <c r="D1919" s="8">
        <v>41.74</v>
      </c>
    </row>
    <row r="1920" spans="1:4" x14ac:dyDescent="0.45">
      <c r="A1920" s="7">
        <v>45696</v>
      </c>
      <c r="B1920" t="s">
        <v>93</v>
      </c>
      <c r="C1920" t="s">
        <v>103</v>
      </c>
      <c r="D1920" s="8">
        <v>28.95</v>
      </c>
    </row>
    <row r="1921" spans="1:4" x14ac:dyDescent="0.45">
      <c r="A1921" s="7">
        <v>45869</v>
      </c>
      <c r="B1921" t="s">
        <v>93</v>
      </c>
      <c r="C1921" t="s">
        <v>103</v>
      </c>
      <c r="D1921" s="8">
        <v>450.9</v>
      </c>
    </row>
    <row r="1922" spans="1:4" x14ac:dyDescent="0.45">
      <c r="A1922" s="7">
        <v>45887</v>
      </c>
      <c r="B1922" t="s">
        <v>93</v>
      </c>
      <c r="C1922" t="s">
        <v>100</v>
      </c>
      <c r="D1922" s="8">
        <v>485.05</v>
      </c>
    </row>
    <row r="1923" spans="1:4" x14ac:dyDescent="0.45">
      <c r="A1923" s="7">
        <v>45965</v>
      </c>
      <c r="B1923" t="s">
        <v>97</v>
      </c>
      <c r="C1923" t="s">
        <v>101</v>
      </c>
      <c r="D1923" s="8">
        <v>334.37</v>
      </c>
    </row>
    <row r="1924" spans="1:4" x14ac:dyDescent="0.45">
      <c r="A1924" s="7">
        <v>45931</v>
      </c>
      <c r="B1924" t="s">
        <v>97</v>
      </c>
      <c r="C1924" t="s">
        <v>101</v>
      </c>
      <c r="D1924" s="8">
        <v>419.55</v>
      </c>
    </row>
    <row r="1925" spans="1:4" x14ac:dyDescent="0.45">
      <c r="A1925" s="7">
        <v>45712</v>
      </c>
      <c r="B1925" t="s">
        <v>95</v>
      </c>
      <c r="C1925" t="s">
        <v>102</v>
      </c>
      <c r="D1925" s="8">
        <v>62.06</v>
      </c>
    </row>
    <row r="1926" spans="1:4" x14ac:dyDescent="0.45">
      <c r="A1926" s="7">
        <v>46021</v>
      </c>
      <c r="B1926" t="s">
        <v>95</v>
      </c>
      <c r="C1926" t="s">
        <v>102</v>
      </c>
      <c r="D1926" s="8">
        <v>384.77</v>
      </c>
    </row>
    <row r="1927" spans="1:4" x14ac:dyDescent="0.45">
      <c r="A1927" s="7">
        <v>45649</v>
      </c>
      <c r="B1927" t="s">
        <v>95</v>
      </c>
      <c r="C1927" t="s">
        <v>109</v>
      </c>
      <c r="D1927" s="8">
        <v>392.01</v>
      </c>
    </row>
    <row r="1928" spans="1:4" x14ac:dyDescent="0.45">
      <c r="A1928" s="7">
        <v>45605</v>
      </c>
      <c r="B1928" t="s">
        <v>93</v>
      </c>
      <c r="C1928" t="s">
        <v>94</v>
      </c>
      <c r="D1928" s="8">
        <v>-59.48</v>
      </c>
    </row>
    <row r="1929" spans="1:4" x14ac:dyDescent="0.45">
      <c r="A1929" s="7">
        <v>46158</v>
      </c>
      <c r="B1929" t="s">
        <v>97</v>
      </c>
      <c r="C1929" t="s">
        <v>107</v>
      </c>
      <c r="D1929" s="8">
        <v>323.12</v>
      </c>
    </row>
    <row r="1930" spans="1:4" x14ac:dyDescent="0.45">
      <c r="A1930" s="7">
        <v>45748</v>
      </c>
      <c r="B1930" t="s">
        <v>93</v>
      </c>
      <c r="C1930" t="s">
        <v>94</v>
      </c>
      <c r="D1930" s="8">
        <v>345.82</v>
      </c>
    </row>
    <row r="1931" spans="1:4" x14ac:dyDescent="0.45">
      <c r="A1931" s="7">
        <v>45421</v>
      </c>
      <c r="B1931" t="s">
        <v>95</v>
      </c>
      <c r="C1931" t="s">
        <v>96</v>
      </c>
      <c r="D1931" s="8">
        <v>66.3</v>
      </c>
    </row>
    <row r="1932" spans="1:4" x14ac:dyDescent="0.45">
      <c r="A1932" s="7">
        <v>45528</v>
      </c>
      <c r="B1932" t="s">
        <v>93</v>
      </c>
      <c r="C1932" t="s">
        <v>94</v>
      </c>
      <c r="D1932" s="8">
        <v>108.99</v>
      </c>
    </row>
    <row r="1933" spans="1:4" x14ac:dyDescent="0.45">
      <c r="A1933" s="7">
        <v>45484</v>
      </c>
      <c r="B1933" t="s">
        <v>95</v>
      </c>
      <c r="C1933" t="s">
        <v>96</v>
      </c>
      <c r="D1933" s="8">
        <v>203.1</v>
      </c>
    </row>
    <row r="1934" spans="1:4" x14ac:dyDescent="0.45">
      <c r="A1934" s="7">
        <v>45665</v>
      </c>
      <c r="B1934" t="s">
        <v>97</v>
      </c>
      <c r="C1934" t="s">
        <v>101</v>
      </c>
      <c r="D1934" s="8">
        <v>164.36</v>
      </c>
    </row>
    <row r="1935" spans="1:4" x14ac:dyDescent="0.45">
      <c r="A1935" s="7">
        <v>46148</v>
      </c>
      <c r="B1935" t="s">
        <v>93</v>
      </c>
      <c r="C1935" t="s">
        <v>100</v>
      </c>
      <c r="D1935" s="8">
        <v>-140.53</v>
      </c>
    </row>
    <row r="1936" spans="1:4" x14ac:dyDescent="0.45">
      <c r="A1936" s="7">
        <v>45944</v>
      </c>
      <c r="B1936" t="s">
        <v>95</v>
      </c>
      <c r="C1936" t="s">
        <v>96</v>
      </c>
      <c r="D1936" s="8">
        <v>105.37</v>
      </c>
    </row>
    <row r="1937" spans="1:4" x14ac:dyDescent="0.45">
      <c r="A1937" s="7">
        <v>45296</v>
      </c>
      <c r="B1937" t="s">
        <v>97</v>
      </c>
      <c r="C1937" t="s">
        <v>107</v>
      </c>
      <c r="D1937" s="8">
        <v>-87.53</v>
      </c>
    </row>
    <row r="1938" spans="1:4" x14ac:dyDescent="0.45">
      <c r="A1938" s="7">
        <v>45789</v>
      </c>
      <c r="B1938" t="s">
        <v>93</v>
      </c>
      <c r="C1938" t="s">
        <v>106</v>
      </c>
      <c r="D1938" s="8">
        <v>-24.01</v>
      </c>
    </row>
    <row r="1939" spans="1:4" x14ac:dyDescent="0.45">
      <c r="A1939" s="7">
        <v>45864</v>
      </c>
      <c r="B1939" t="s">
        <v>93</v>
      </c>
      <c r="C1939" t="s">
        <v>94</v>
      </c>
      <c r="D1939" s="8">
        <v>294.31</v>
      </c>
    </row>
    <row r="1940" spans="1:4" x14ac:dyDescent="0.45">
      <c r="A1940" s="7">
        <v>45868</v>
      </c>
      <c r="B1940" t="s">
        <v>93</v>
      </c>
      <c r="C1940" t="s">
        <v>94</v>
      </c>
      <c r="D1940" s="8">
        <v>104.69</v>
      </c>
    </row>
    <row r="1941" spans="1:4" x14ac:dyDescent="0.45">
      <c r="A1941" s="7">
        <v>46032</v>
      </c>
      <c r="B1941" t="s">
        <v>97</v>
      </c>
      <c r="C1941" t="s">
        <v>104</v>
      </c>
      <c r="D1941" s="8">
        <v>-29.34</v>
      </c>
    </row>
    <row r="1942" spans="1:4" x14ac:dyDescent="0.45">
      <c r="A1942" s="7">
        <v>45548</v>
      </c>
      <c r="B1942" t="s">
        <v>93</v>
      </c>
      <c r="C1942" t="s">
        <v>103</v>
      </c>
      <c r="D1942" s="8">
        <v>163.52000000000001</v>
      </c>
    </row>
    <row r="1943" spans="1:4" x14ac:dyDescent="0.45">
      <c r="A1943" s="7">
        <v>45976</v>
      </c>
      <c r="B1943" t="s">
        <v>95</v>
      </c>
      <c r="C1943" t="s">
        <v>99</v>
      </c>
      <c r="D1943" s="8">
        <v>232.82</v>
      </c>
    </row>
    <row r="1944" spans="1:4" x14ac:dyDescent="0.45">
      <c r="A1944" s="7">
        <v>46097</v>
      </c>
      <c r="B1944" t="s">
        <v>95</v>
      </c>
      <c r="C1944" t="s">
        <v>105</v>
      </c>
      <c r="D1944" s="8">
        <v>67.17</v>
      </c>
    </row>
    <row r="1945" spans="1:4" x14ac:dyDescent="0.45">
      <c r="A1945" s="7">
        <v>45862</v>
      </c>
      <c r="B1945" t="s">
        <v>97</v>
      </c>
      <c r="C1945" t="s">
        <v>104</v>
      </c>
      <c r="D1945" s="8">
        <v>372.95</v>
      </c>
    </row>
    <row r="1946" spans="1:4" x14ac:dyDescent="0.45">
      <c r="A1946" s="7">
        <v>45822</v>
      </c>
      <c r="B1946" t="s">
        <v>95</v>
      </c>
      <c r="C1946" t="s">
        <v>102</v>
      </c>
      <c r="D1946" s="8">
        <v>301.52999999999997</v>
      </c>
    </row>
    <row r="1947" spans="1:4" x14ac:dyDescent="0.45">
      <c r="A1947" s="7">
        <v>46114</v>
      </c>
      <c r="B1947" t="s">
        <v>93</v>
      </c>
      <c r="C1947" t="s">
        <v>94</v>
      </c>
      <c r="D1947" s="8">
        <v>-109.28</v>
      </c>
    </row>
    <row r="1948" spans="1:4" x14ac:dyDescent="0.45">
      <c r="A1948" s="7">
        <v>46074</v>
      </c>
      <c r="B1948" t="s">
        <v>93</v>
      </c>
      <c r="C1948" t="s">
        <v>100</v>
      </c>
      <c r="D1948" s="8">
        <v>121.44</v>
      </c>
    </row>
    <row r="1949" spans="1:4" x14ac:dyDescent="0.45">
      <c r="A1949" s="7">
        <v>45918</v>
      </c>
      <c r="B1949" t="s">
        <v>93</v>
      </c>
      <c r="C1949" t="s">
        <v>100</v>
      </c>
      <c r="D1949" s="8">
        <v>-74.84</v>
      </c>
    </row>
    <row r="1950" spans="1:4" x14ac:dyDescent="0.45">
      <c r="A1950" s="7">
        <v>45859</v>
      </c>
      <c r="B1950" t="s">
        <v>97</v>
      </c>
      <c r="C1950" t="s">
        <v>107</v>
      </c>
      <c r="D1950" s="8">
        <v>209.18</v>
      </c>
    </row>
    <row r="1951" spans="1:4" x14ac:dyDescent="0.45">
      <c r="A1951" s="7">
        <v>45928</v>
      </c>
      <c r="B1951" t="s">
        <v>97</v>
      </c>
      <c r="C1951" t="s">
        <v>107</v>
      </c>
      <c r="D1951" s="8">
        <v>465.81</v>
      </c>
    </row>
    <row r="1952" spans="1:4" x14ac:dyDescent="0.45">
      <c r="A1952" s="7">
        <v>45604</v>
      </c>
      <c r="B1952" t="s">
        <v>97</v>
      </c>
      <c r="C1952" t="s">
        <v>104</v>
      </c>
      <c r="D1952" s="8">
        <v>-47.33</v>
      </c>
    </row>
    <row r="1953" spans="1:4" x14ac:dyDescent="0.45">
      <c r="A1953" s="7">
        <v>45989</v>
      </c>
      <c r="B1953" t="s">
        <v>97</v>
      </c>
      <c r="C1953" t="s">
        <v>98</v>
      </c>
      <c r="D1953" s="8">
        <v>192.4</v>
      </c>
    </row>
    <row r="1954" spans="1:4" x14ac:dyDescent="0.45">
      <c r="A1954" s="7">
        <v>45749</v>
      </c>
      <c r="B1954" t="s">
        <v>95</v>
      </c>
      <c r="C1954" t="s">
        <v>108</v>
      </c>
      <c r="D1954" s="8">
        <v>160.15</v>
      </c>
    </row>
    <row r="1955" spans="1:4" x14ac:dyDescent="0.45">
      <c r="A1955" s="7">
        <v>45684</v>
      </c>
      <c r="B1955" t="s">
        <v>93</v>
      </c>
      <c r="C1955" t="s">
        <v>94</v>
      </c>
      <c r="D1955" s="8">
        <v>-38.840000000000003</v>
      </c>
    </row>
    <row r="1956" spans="1:4" x14ac:dyDescent="0.45">
      <c r="A1956" s="7">
        <v>45445</v>
      </c>
      <c r="B1956" t="s">
        <v>93</v>
      </c>
      <c r="C1956" t="s">
        <v>106</v>
      </c>
      <c r="D1956" s="8">
        <v>349.77</v>
      </c>
    </row>
    <row r="1957" spans="1:4" x14ac:dyDescent="0.45">
      <c r="A1957" s="7">
        <v>45637</v>
      </c>
      <c r="B1957" t="s">
        <v>95</v>
      </c>
      <c r="C1957" t="s">
        <v>108</v>
      </c>
      <c r="D1957" s="8">
        <v>209.46</v>
      </c>
    </row>
    <row r="1958" spans="1:4" x14ac:dyDescent="0.45">
      <c r="A1958" s="7">
        <v>45551</v>
      </c>
      <c r="B1958" t="s">
        <v>93</v>
      </c>
      <c r="C1958" t="s">
        <v>100</v>
      </c>
      <c r="D1958" s="8">
        <v>138.34</v>
      </c>
    </row>
    <row r="1959" spans="1:4" x14ac:dyDescent="0.45">
      <c r="A1959" s="7">
        <v>45762</v>
      </c>
      <c r="B1959" t="s">
        <v>97</v>
      </c>
      <c r="C1959" t="s">
        <v>98</v>
      </c>
      <c r="D1959" s="8">
        <v>226.59</v>
      </c>
    </row>
    <row r="1960" spans="1:4" x14ac:dyDescent="0.45">
      <c r="A1960" s="7">
        <v>45959</v>
      </c>
      <c r="B1960" t="s">
        <v>95</v>
      </c>
      <c r="C1960" t="s">
        <v>105</v>
      </c>
      <c r="D1960" s="8">
        <v>44.46</v>
      </c>
    </row>
    <row r="1961" spans="1:4" x14ac:dyDescent="0.45">
      <c r="A1961" s="7">
        <v>46024</v>
      </c>
      <c r="B1961" t="s">
        <v>97</v>
      </c>
      <c r="C1961" t="s">
        <v>101</v>
      </c>
      <c r="D1961" s="8">
        <v>-11.49</v>
      </c>
    </row>
    <row r="1962" spans="1:4" x14ac:dyDescent="0.45">
      <c r="A1962" s="7">
        <v>46152</v>
      </c>
      <c r="B1962" t="s">
        <v>93</v>
      </c>
      <c r="C1962" t="s">
        <v>100</v>
      </c>
      <c r="D1962" s="8">
        <v>282.43</v>
      </c>
    </row>
    <row r="1963" spans="1:4" x14ac:dyDescent="0.45">
      <c r="A1963" s="7">
        <v>45713</v>
      </c>
      <c r="B1963" t="s">
        <v>95</v>
      </c>
      <c r="C1963" t="s">
        <v>108</v>
      </c>
      <c r="D1963" s="8">
        <v>93.58</v>
      </c>
    </row>
    <row r="1964" spans="1:4" x14ac:dyDescent="0.45">
      <c r="A1964" s="7">
        <v>45351</v>
      </c>
      <c r="B1964" t="s">
        <v>93</v>
      </c>
      <c r="C1964" t="s">
        <v>94</v>
      </c>
      <c r="D1964" s="8">
        <v>243.53</v>
      </c>
    </row>
    <row r="1965" spans="1:4" x14ac:dyDescent="0.45">
      <c r="A1965" s="7">
        <v>45849</v>
      </c>
      <c r="B1965" t="s">
        <v>93</v>
      </c>
      <c r="C1965" t="s">
        <v>100</v>
      </c>
      <c r="D1965" s="8">
        <v>9.75</v>
      </c>
    </row>
    <row r="1966" spans="1:4" x14ac:dyDescent="0.45">
      <c r="A1966" s="7">
        <v>45957</v>
      </c>
      <c r="B1966" t="s">
        <v>97</v>
      </c>
      <c r="C1966" t="s">
        <v>104</v>
      </c>
      <c r="D1966" s="8">
        <v>138.82</v>
      </c>
    </row>
    <row r="1967" spans="1:4" x14ac:dyDescent="0.45">
      <c r="A1967" s="7">
        <v>45609</v>
      </c>
      <c r="B1967" t="s">
        <v>93</v>
      </c>
      <c r="C1967" t="s">
        <v>106</v>
      </c>
      <c r="D1967" s="8">
        <v>461.43</v>
      </c>
    </row>
    <row r="1968" spans="1:4" x14ac:dyDescent="0.45">
      <c r="A1968" s="7">
        <v>46101</v>
      </c>
      <c r="B1968" t="s">
        <v>93</v>
      </c>
      <c r="C1968" t="s">
        <v>106</v>
      </c>
      <c r="D1968" s="8">
        <v>499.29</v>
      </c>
    </row>
    <row r="1969" spans="1:4" x14ac:dyDescent="0.45">
      <c r="A1969" s="7">
        <v>46150</v>
      </c>
      <c r="B1969" t="s">
        <v>97</v>
      </c>
      <c r="C1969" t="s">
        <v>104</v>
      </c>
      <c r="D1969" s="8">
        <v>-19.98</v>
      </c>
    </row>
    <row r="1970" spans="1:4" x14ac:dyDescent="0.45">
      <c r="A1970" s="7">
        <v>46069</v>
      </c>
      <c r="B1970" t="s">
        <v>95</v>
      </c>
      <c r="C1970" t="s">
        <v>108</v>
      </c>
      <c r="D1970" s="8">
        <v>230.29</v>
      </c>
    </row>
    <row r="1971" spans="1:4" x14ac:dyDescent="0.45">
      <c r="A1971" s="7">
        <v>46158</v>
      </c>
      <c r="B1971" t="s">
        <v>97</v>
      </c>
      <c r="C1971" t="s">
        <v>107</v>
      </c>
      <c r="D1971" s="8">
        <v>163.68</v>
      </c>
    </row>
    <row r="1972" spans="1:4" x14ac:dyDescent="0.45">
      <c r="A1972" s="7">
        <v>45824</v>
      </c>
      <c r="B1972" t="s">
        <v>93</v>
      </c>
      <c r="C1972" t="s">
        <v>106</v>
      </c>
      <c r="D1972" s="8">
        <v>255.61</v>
      </c>
    </row>
    <row r="1973" spans="1:4" x14ac:dyDescent="0.45">
      <c r="A1973" s="7">
        <v>45894</v>
      </c>
      <c r="B1973" t="s">
        <v>97</v>
      </c>
      <c r="C1973" t="s">
        <v>101</v>
      </c>
      <c r="D1973" s="8">
        <v>361.15</v>
      </c>
    </row>
    <row r="1974" spans="1:4" x14ac:dyDescent="0.45">
      <c r="A1974" s="7">
        <v>46069</v>
      </c>
      <c r="B1974" t="s">
        <v>95</v>
      </c>
      <c r="C1974" t="s">
        <v>109</v>
      </c>
      <c r="D1974" s="8">
        <v>-3.53</v>
      </c>
    </row>
    <row r="1975" spans="1:4" x14ac:dyDescent="0.45">
      <c r="A1975" s="7">
        <v>46135</v>
      </c>
      <c r="B1975" t="s">
        <v>93</v>
      </c>
      <c r="C1975" t="s">
        <v>94</v>
      </c>
      <c r="D1975" s="8">
        <v>187.24</v>
      </c>
    </row>
    <row r="1976" spans="1:4" x14ac:dyDescent="0.45">
      <c r="A1976" s="7">
        <v>46015</v>
      </c>
      <c r="B1976" t="s">
        <v>95</v>
      </c>
      <c r="C1976" t="s">
        <v>108</v>
      </c>
      <c r="D1976" s="8">
        <v>221.25</v>
      </c>
    </row>
    <row r="1977" spans="1:4" x14ac:dyDescent="0.45">
      <c r="A1977" s="7">
        <v>45926</v>
      </c>
      <c r="B1977" t="s">
        <v>93</v>
      </c>
      <c r="C1977" t="s">
        <v>100</v>
      </c>
      <c r="D1977" s="8">
        <v>2.5499999999999998</v>
      </c>
    </row>
    <row r="1978" spans="1:4" x14ac:dyDescent="0.45">
      <c r="A1978" s="7">
        <v>45916</v>
      </c>
      <c r="B1978" t="s">
        <v>93</v>
      </c>
      <c r="C1978" t="s">
        <v>106</v>
      </c>
      <c r="D1978" s="8">
        <v>269.92</v>
      </c>
    </row>
    <row r="1979" spans="1:4" x14ac:dyDescent="0.45">
      <c r="A1979" s="7">
        <v>45380</v>
      </c>
      <c r="B1979" t="s">
        <v>93</v>
      </c>
      <c r="C1979" t="s">
        <v>106</v>
      </c>
      <c r="D1979" s="8">
        <v>311</v>
      </c>
    </row>
    <row r="1980" spans="1:4" x14ac:dyDescent="0.45">
      <c r="A1980" s="7">
        <v>45640</v>
      </c>
      <c r="B1980" t="s">
        <v>93</v>
      </c>
      <c r="C1980" t="s">
        <v>94</v>
      </c>
      <c r="D1980" s="8">
        <v>-59.49</v>
      </c>
    </row>
    <row r="1981" spans="1:4" x14ac:dyDescent="0.45">
      <c r="A1981" s="7">
        <v>45335</v>
      </c>
      <c r="B1981" t="s">
        <v>93</v>
      </c>
      <c r="C1981" t="s">
        <v>94</v>
      </c>
      <c r="D1981" s="8">
        <v>263.14</v>
      </c>
    </row>
    <row r="1982" spans="1:4" x14ac:dyDescent="0.45">
      <c r="A1982" s="7">
        <v>46037</v>
      </c>
      <c r="B1982" t="s">
        <v>95</v>
      </c>
      <c r="C1982" t="s">
        <v>105</v>
      </c>
      <c r="D1982" s="8">
        <v>-37.56</v>
      </c>
    </row>
    <row r="1983" spans="1:4" x14ac:dyDescent="0.45">
      <c r="A1983" s="7">
        <v>45665</v>
      </c>
      <c r="B1983" t="s">
        <v>95</v>
      </c>
      <c r="C1983" t="s">
        <v>102</v>
      </c>
      <c r="D1983" s="8">
        <v>313.7</v>
      </c>
    </row>
    <row r="1984" spans="1:4" x14ac:dyDescent="0.45">
      <c r="A1984" s="7">
        <v>46146</v>
      </c>
      <c r="B1984" t="s">
        <v>97</v>
      </c>
      <c r="C1984" t="s">
        <v>107</v>
      </c>
      <c r="D1984" s="8">
        <v>393.88</v>
      </c>
    </row>
    <row r="1985" spans="1:4" x14ac:dyDescent="0.45">
      <c r="A1985" s="7">
        <v>46029</v>
      </c>
      <c r="B1985" t="s">
        <v>95</v>
      </c>
      <c r="C1985" t="s">
        <v>102</v>
      </c>
      <c r="D1985" s="8">
        <v>-84.62</v>
      </c>
    </row>
    <row r="1986" spans="1:4" x14ac:dyDescent="0.45">
      <c r="A1986" s="7">
        <v>45865</v>
      </c>
      <c r="B1986" t="s">
        <v>93</v>
      </c>
      <c r="C1986" t="s">
        <v>100</v>
      </c>
      <c r="D1986" s="8">
        <v>-61.47</v>
      </c>
    </row>
    <row r="1987" spans="1:4" x14ac:dyDescent="0.45">
      <c r="A1987" s="7">
        <v>45402</v>
      </c>
      <c r="B1987" t="s">
        <v>93</v>
      </c>
      <c r="C1987" t="s">
        <v>106</v>
      </c>
      <c r="D1987" s="8">
        <v>59.33</v>
      </c>
    </row>
    <row r="1988" spans="1:4" x14ac:dyDescent="0.45">
      <c r="A1988" s="7">
        <v>45309</v>
      </c>
      <c r="B1988" t="s">
        <v>95</v>
      </c>
      <c r="C1988" t="s">
        <v>102</v>
      </c>
      <c r="D1988" s="8">
        <v>10.7</v>
      </c>
    </row>
    <row r="1989" spans="1:4" x14ac:dyDescent="0.45">
      <c r="A1989" s="7">
        <v>46105</v>
      </c>
      <c r="B1989" t="s">
        <v>97</v>
      </c>
      <c r="C1989" t="s">
        <v>104</v>
      </c>
      <c r="D1989" s="8">
        <v>40.94</v>
      </c>
    </row>
    <row r="1990" spans="1:4" x14ac:dyDescent="0.45">
      <c r="A1990" s="7">
        <v>46109</v>
      </c>
      <c r="B1990" t="s">
        <v>95</v>
      </c>
      <c r="C1990" t="s">
        <v>108</v>
      </c>
      <c r="D1990" s="8">
        <v>126.71</v>
      </c>
    </row>
    <row r="1991" spans="1:4" x14ac:dyDescent="0.45">
      <c r="A1991" s="7">
        <v>45334</v>
      </c>
      <c r="B1991" t="s">
        <v>95</v>
      </c>
      <c r="C1991" t="s">
        <v>105</v>
      </c>
      <c r="D1991" s="8">
        <v>109.29</v>
      </c>
    </row>
    <row r="1992" spans="1:4" x14ac:dyDescent="0.45">
      <c r="A1992" s="7">
        <v>45637</v>
      </c>
      <c r="B1992" t="s">
        <v>93</v>
      </c>
      <c r="C1992" t="s">
        <v>103</v>
      </c>
      <c r="D1992" s="8">
        <v>11.23</v>
      </c>
    </row>
    <row r="1993" spans="1:4" x14ac:dyDescent="0.45">
      <c r="A1993" s="7">
        <v>45479</v>
      </c>
      <c r="B1993" t="s">
        <v>97</v>
      </c>
      <c r="C1993" t="s">
        <v>107</v>
      </c>
      <c r="D1993" s="8">
        <v>448.57</v>
      </c>
    </row>
    <row r="1994" spans="1:4" x14ac:dyDescent="0.45">
      <c r="A1994" s="7">
        <v>46191</v>
      </c>
      <c r="B1994" t="s">
        <v>93</v>
      </c>
      <c r="C1994" t="s">
        <v>106</v>
      </c>
      <c r="D1994" s="8">
        <v>272.70999999999998</v>
      </c>
    </row>
    <row r="1995" spans="1:4" x14ac:dyDescent="0.45">
      <c r="A1995" s="7">
        <v>45849</v>
      </c>
      <c r="B1995" t="s">
        <v>97</v>
      </c>
      <c r="C1995" t="s">
        <v>104</v>
      </c>
      <c r="D1995" s="8">
        <v>170.29</v>
      </c>
    </row>
    <row r="1996" spans="1:4" x14ac:dyDescent="0.45">
      <c r="A1996" s="7">
        <v>45598</v>
      </c>
      <c r="B1996" t="s">
        <v>95</v>
      </c>
      <c r="C1996" t="s">
        <v>108</v>
      </c>
      <c r="D1996" s="8">
        <v>383.3</v>
      </c>
    </row>
    <row r="1997" spans="1:4" x14ac:dyDescent="0.45">
      <c r="A1997" s="7">
        <v>45611</v>
      </c>
      <c r="B1997" t="s">
        <v>93</v>
      </c>
      <c r="C1997" t="s">
        <v>106</v>
      </c>
      <c r="D1997" s="8">
        <v>478.31</v>
      </c>
    </row>
    <row r="1998" spans="1:4" x14ac:dyDescent="0.45">
      <c r="A1998" s="7">
        <v>45732</v>
      </c>
      <c r="B1998" t="s">
        <v>97</v>
      </c>
      <c r="C1998" t="s">
        <v>98</v>
      </c>
      <c r="D1998" s="8">
        <v>276.24</v>
      </c>
    </row>
    <row r="1999" spans="1:4" x14ac:dyDescent="0.45">
      <c r="A1999" s="7">
        <v>46101</v>
      </c>
      <c r="B1999" t="s">
        <v>93</v>
      </c>
      <c r="C1999" t="s">
        <v>94</v>
      </c>
      <c r="D1999" s="8">
        <v>60.06</v>
      </c>
    </row>
    <row r="2000" spans="1:4" x14ac:dyDescent="0.45">
      <c r="A2000" s="7">
        <v>45310</v>
      </c>
      <c r="B2000" t="s">
        <v>97</v>
      </c>
      <c r="C2000" t="s">
        <v>104</v>
      </c>
      <c r="D2000" s="8">
        <v>-72.650000000000006</v>
      </c>
    </row>
    <row r="2001" spans="1:4" x14ac:dyDescent="0.45">
      <c r="A2001" s="7">
        <v>46077</v>
      </c>
      <c r="B2001" t="s">
        <v>93</v>
      </c>
      <c r="C2001" t="s">
        <v>100</v>
      </c>
      <c r="D2001" s="8">
        <v>-67.599999999999994</v>
      </c>
    </row>
    <row r="2002" spans="1:4" x14ac:dyDescent="0.45">
      <c r="A2002" s="7">
        <v>45981</v>
      </c>
      <c r="B2002" t="s">
        <v>97</v>
      </c>
      <c r="C2002" t="s">
        <v>107</v>
      </c>
      <c r="D2002" s="8">
        <v>119.17</v>
      </c>
    </row>
    <row r="2003" spans="1:4" x14ac:dyDescent="0.45">
      <c r="A2003" s="7">
        <v>46076</v>
      </c>
      <c r="B2003" t="s">
        <v>93</v>
      </c>
      <c r="C2003" t="s">
        <v>100</v>
      </c>
      <c r="D2003" s="8">
        <v>423.6</v>
      </c>
    </row>
    <row r="2004" spans="1:4" x14ac:dyDescent="0.45">
      <c r="A2004" s="7">
        <v>45731</v>
      </c>
      <c r="B2004" t="s">
        <v>93</v>
      </c>
      <c r="C2004" t="s">
        <v>103</v>
      </c>
      <c r="D2004" s="8">
        <v>-99.19</v>
      </c>
    </row>
    <row r="2005" spans="1:4" x14ac:dyDescent="0.45">
      <c r="A2005" s="7">
        <v>45967</v>
      </c>
      <c r="B2005" t="s">
        <v>93</v>
      </c>
      <c r="C2005" t="s">
        <v>106</v>
      </c>
      <c r="D2005" s="8">
        <v>318.8</v>
      </c>
    </row>
    <row r="2006" spans="1:4" x14ac:dyDescent="0.45">
      <c r="A2006" s="7">
        <v>45571</v>
      </c>
      <c r="B2006" t="s">
        <v>95</v>
      </c>
      <c r="C2006" t="s">
        <v>96</v>
      </c>
      <c r="D2006" s="8">
        <v>-71.06</v>
      </c>
    </row>
    <row r="2007" spans="1:4" x14ac:dyDescent="0.45">
      <c r="A2007" s="7">
        <v>45798</v>
      </c>
      <c r="B2007" t="s">
        <v>93</v>
      </c>
      <c r="C2007" t="s">
        <v>106</v>
      </c>
      <c r="D2007" s="8">
        <v>238.38</v>
      </c>
    </row>
    <row r="2008" spans="1:4" x14ac:dyDescent="0.45">
      <c r="A2008" s="7">
        <v>45405</v>
      </c>
      <c r="B2008" t="s">
        <v>97</v>
      </c>
      <c r="C2008" t="s">
        <v>104</v>
      </c>
      <c r="D2008" s="8">
        <v>387.09</v>
      </c>
    </row>
    <row r="2009" spans="1:4" x14ac:dyDescent="0.45">
      <c r="A2009" s="7">
        <v>45723</v>
      </c>
      <c r="B2009" t="s">
        <v>95</v>
      </c>
      <c r="C2009" t="s">
        <v>96</v>
      </c>
      <c r="D2009" s="8">
        <v>415.93</v>
      </c>
    </row>
    <row r="2010" spans="1:4" x14ac:dyDescent="0.45">
      <c r="A2010" s="7">
        <v>45783</v>
      </c>
      <c r="B2010" t="s">
        <v>95</v>
      </c>
      <c r="C2010" t="s">
        <v>96</v>
      </c>
      <c r="D2010" s="8">
        <v>32.32</v>
      </c>
    </row>
    <row r="2011" spans="1:4" x14ac:dyDescent="0.45">
      <c r="A2011" s="7">
        <v>45784</v>
      </c>
      <c r="B2011" t="s">
        <v>95</v>
      </c>
      <c r="C2011" t="s">
        <v>99</v>
      </c>
      <c r="D2011" s="8">
        <v>469.09</v>
      </c>
    </row>
    <row r="2012" spans="1:4" x14ac:dyDescent="0.45">
      <c r="A2012" s="7">
        <v>45411</v>
      </c>
      <c r="B2012" t="s">
        <v>95</v>
      </c>
      <c r="C2012" t="s">
        <v>105</v>
      </c>
      <c r="D2012" s="8">
        <v>-138.87</v>
      </c>
    </row>
    <row r="2013" spans="1:4" x14ac:dyDescent="0.45">
      <c r="A2013" s="7">
        <v>45509</v>
      </c>
      <c r="B2013" t="s">
        <v>97</v>
      </c>
      <c r="C2013" t="s">
        <v>107</v>
      </c>
      <c r="D2013" s="8">
        <v>471.62</v>
      </c>
    </row>
    <row r="2014" spans="1:4" x14ac:dyDescent="0.45">
      <c r="A2014" s="7">
        <v>46037</v>
      </c>
      <c r="B2014" t="s">
        <v>93</v>
      </c>
      <c r="C2014" t="s">
        <v>100</v>
      </c>
      <c r="D2014" s="8">
        <v>44.44</v>
      </c>
    </row>
    <row r="2015" spans="1:4" x14ac:dyDescent="0.45">
      <c r="A2015" s="7">
        <v>45409</v>
      </c>
      <c r="B2015" t="s">
        <v>95</v>
      </c>
      <c r="C2015" t="s">
        <v>96</v>
      </c>
      <c r="D2015" s="8">
        <v>51.1</v>
      </c>
    </row>
    <row r="2016" spans="1:4" x14ac:dyDescent="0.45">
      <c r="A2016" s="7">
        <v>45837</v>
      </c>
      <c r="B2016" t="s">
        <v>93</v>
      </c>
      <c r="C2016" t="s">
        <v>103</v>
      </c>
      <c r="D2016" s="8">
        <v>17.329999999999998</v>
      </c>
    </row>
    <row r="2017" spans="1:4" x14ac:dyDescent="0.45">
      <c r="A2017" s="7">
        <v>46032</v>
      </c>
      <c r="B2017" t="s">
        <v>97</v>
      </c>
      <c r="C2017" t="s">
        <v>98</v>
      </c>
      <c r="D2017" s="8">
        <v>72.069999999999993</v>
      </c>
    </row>
    <row r="2018" spans="1:4" x14ac:dyDescent="0.45">
      <c r="A2018" s="7">
        <v>46169</v>
      </c>
      <c r="B2018" t="s">
        <v>93</v>
      </c>
      <c r="C2018" t="s">
        <v>103</v>
      </c>
      <c r="D2018" s="8">
        <v>-125.01</v>
      </c>
    </row>
    <row r="2019" spans="1:4" x14ac:dyDescent="0.45">
      <c r="A2019" s="7">
        <v>45894</v>
      </c>
      <c r="B2019" t="s">
        <v>95</v>
      </c>
      <c r="C2019" t="s">
        <v>102</v>
      </c>
      <c r="D2019" s="8">
        <v>292.18</v>
      </c>
    </row>
    <row r="2020" spans="1:4" x14ac:dyDescent="0.45">
      <c r="A2020" s="7">
        <v>45843</v>
      </c>
      <c r="B2020" t="s">
        <v>97</v>
      </c>
      <c r="C2020" t="s">
        <v>101</v>
      </c>
      <c r="D2020" s="8">
        <v>-146.71</v>
      </c>
    </row>
    <row r="2021" spans="1:4" x14ac:dyDescent="0.45">
      <c r="A2021" s="7">
        <v>45783</v>
      </c>
      <c r="B2021" t="s">
        <v>93</v>
      </c>
      <c r="C2021" t="s">
        <v>94</v>
      </c>
      <c r="D2021" s="8">
        <v>39.57</v>
      </c>
    </row>
    <row r="2022" spans="1:4" x14ac:dyDescent="0.45">
      <c r="A2022" s="7">
        <v>45688</v>
      </c>
      <c r="B2022" t="s">
        <v>95</v>
      </c>
      <c r="C2022" t="s">
        <v>99</v>
      </c>
      <c r="D2022" s="8">
        <v>405.32</v>
      </c>
    </row>
    <row r="2023" spans="1:4" x14ac:dyDescent="0.45">
      <c r="A2023" s="7">
        <v>45791</v>
      </c>
      <c r="B2023" t="s">
        <v>93</v>
      </c>
      <c r="C2023" t="s">
        <v>103</v>
      </c>
      <c r="D2023" s="8">
        <v>261.89</v>
      </c>
    </row>
    <row r="2024" spans="1:4" x14ac:dyDescent="0.45">
      <c r="A2024" s="7">
        <v>45942</v>
      </c>
      <c r="B2024" t="s">
        <v>93</v>
      </c>
      <c r="C2024" t="s">
        <v>94</v>
      </c>
      <c r="D2024" s="8">
        <v>308.2</v>
      </c>
    </row>
    <row r="2025" spans="1:4" x14ac:dyDescent="0.45">
      <c r="A2025" s="7">
        <v>45383</v>
      </c>
      <c r="B2025" t="s">
        <v>95</v>
      </c>
      <c r="C2025" t="s">
        <v>96</v>
      </c>
      <c r="D2025" s="8">
        <v>42.95</v>
      </c>
    </row>
    <row r="2026" spans="1:4" x14ac:dyDescent="0.45">
      <c r="A2026" s="7">
        <v>45312</v>
      </c>
      <c r="B2026" t="s">
        <v>97</v>
      </c>
      <c r="C2026" t="s">
        <v>98</v>
      </c>
      <c r="D2026" s="8">
        <v>162.87</v>
      </c>
    </row>
    <row r="2027" spans="1:4" x14ac:dyDescent="0.45">
      <c r="A2027" s="7">
        <v>45592</v>
      </c>
      <c r="B2027" t="s">
        <v>97</v>
      </c>
      <c r="C2027" t="s">
        <v>104</v>
      </c>
      <c r="D2027" s="8">
        <v>447.15</v>
      </c>
    </row>
    <row r="2028" spans="1:4" x14ac:dyDescent="0.45">
      <c r="A2028" s="7">
        <v>45958</v>
      </c>
      <c r="B2028" t="s">
        <v>95</v>
      </c>
      <c r="C2028" t="s">
        <v>96</v>
      </c>
      <c r="D2028" s="8">
        <v>31.06</v>
      </c>
    </row>
    <row r="2029" spans="1:4" x14ac:dyDescent="0.45">
      <c r="A2029" s="7">
        <v>45578</v>
      </c>
      <c r="B2029" t="s">
        <v>97</v>
      </c>
      <c r="C2029" t="s">
        <v>107</v>
      </c>
      <c r="D2029" s="8">
        <v>-68.290000000000006</v>
      </c>
    </row>
    <row r="2030" spans="1:4" x14ac:dyDescent="0.45">
      <c r="A2030" s="7">
        <v>45888</v>
      </c>
      <c r="B2030" t="s">
        <v>97</v>
      </c>
      <c r="C2030" t="s">
        <v>101</v>
      </c>
      <c r="D2030" s="8">
        <v>-139.05000000000001</v>
      </c>
    </row>
    <row r="2031" spans="1:4" x14ac:dyDescent="0.45">
      <c r="A2031" s="7">
        <v>45842</v>
      </c>
      <c r="B2031" t="s">
        <v>93</v>
      </c>
      <c r="C2031" t="s">
        <v>100</v>
      </c>
      <c r="D2031" s="8">
        <v>30.96</v>
      </c>
    </row>
    <row r="2032" spans="1:4" x14ac:dyDescent="0.45">
      <c r="A2032" s="7">
        <v>45323</v>
      </c>
      <c r="B2032" t="s">
        <v>97</v>
      </c>
      <c r="C2032" t="s">
        <v>104</v>
      </c>
      <c r="D2032" s="8">
        <v>348.24</v>
      </c>
    </row>
    <row r="2033" spans="1:4" x14ac:dyDescent="0.45">
      <c r="A2033" s="7">
        <v>45740</v>
      </c>
      <c r="B2033" t="s">
        <v>97</v>
      </c>
      <c r="C2033" t="s">
        <v>98</v>
      </c>
      <c r="D2033" s="8">
        <v>62.44</v>
      </c>
    </row>
    <row r="2034" spans="1:4" x14ac:dyDescent="0.45">
      <c r="A2034" s="7">
        <v>45424</v>
      </c>
      <c r="B2034" t="s">
        <v>93</v>
      </c>
      <c r="C2034" t="s">
        <v>103</v>
      </c>
      <c r="D2034" s="8">
        <v>491.16</v>
      </c>
    </row>
    <row r="2035" spans="1:4" x14ac:dyDescent="0.45">
      <c r="A2035" s="7">
        <v>45927</v>
      </c>
      <c r="B2035" t="s">
        <v>97</v>
      </c>
      <c r="C2035" t="s">
        <v>101</v>
      </c>
      <c r="D2035" s="8">
        <v>253.4</v>
      </c>
    </row>
    <row r="2036" spans="1:4" x14ac:dyDescent="0.45">
      <c r="A2036" s="7">
        <v>45811</v>
      </c>
      <c r="B2036" t="s">
        <v>95</v>
      </c>
      <c r="C2036" t="s">
        <v>96</v>
      </c>
      <c r="D2036" s="8">
        <v>125.53</v>
      </c>
    </row>
    <row r="2037" spans="1:4" x14ac:dyDescent="0.45">
      <c r="A2037" s="7">
        <v>45844</v>
      </c>
      <c r="B2037" t="s">
        <v>93</v>
      </c>
      <c r="C2037" t="s">
        <v>103</v>
      </c>
      <c r="D2037" s="8">
        <v>481.96</v>
      </c>
    </row>
    <row r="2038" spans="1:4" x14ac:dyDescent="0.45">
      <c r="A2038" s="7">
        <v>45728</v>
      </c>
      <c r="B2038" t="s">
        <v>97</v>
      </c>
      <c r="C2038" t="s">
        <v>101</v>
      </c>
      <c r="D2038" s="8">
        <v>399.68</v>
      </c>
    </row>
    <row r="2039" spans="1:4" x14ac:dyDescent="0.45">
      <c r="A2039" s="7">
        <v>45773</v>
      </c>
      <c r="B2039" t="s">
        <v>95</v>
      </c>
      <c r="C2039" t="s">
        <v>109</v>
      </c>
      <c r="D2039" s="8">
        <v>258.67</v>
      </c>
    </row>
    <row r="2040" spans="1:4" x14ac:dyDescent="0.45">
      <c r="A2040" s="7">
        <v>45903</v>
      </c>
      <c r="B2040" t="s">
        <v>95</v>
      </c>
      <c r="C2040" t="s">
        <v>99</v>
      </c>
      <c r="D2040" s="8">
        <v>239.65</v>
      </c>
    </row>
    <row r="2041" spans="1:4" x14ac:dyDescent="0.45">
      <c r="A2041" s="7">
        <v>46084</v>
      </c>
      <c r="B2041" t="s">
        <v>97</v>
      </c>
      <c r="C2041" t="s">
        <v>98</v>
      </c>
      <c r="D2041" s="8">
        <v>6.11</v>
      </c>
    </row>
    <row r="2042" spans="1:4" x14ac:dyDescent="0.45">
      <c r="A2042" s="7">
        <v>45636</v>
      </c>
      <c r="B2042" t="s">
        <v>97</v>
      </c>
      <c r="C2042" t="s">
        <v>104</v>
      </c>
      <c r="D2042" s="8">
        <v>222.48</v>
      </c>
    </row>
    <row r="2043" spans="1:4" x14ac:dyDescent="0.45">
      <c r="A2043" s="7">
        <v>45323</v>
      </c>
      <c r="B2043" t="s">
        <v>97</v>
      </c>
      <c r="C2043" t="s">
        <v>101</v>
      </c>
      <c r="D2043" s="8">
        <v>-42.3</v>
      </c>
    </row>
    <row r="2044" spans="1:4" x14ac:dyDescent="0.45">
      <c r="A2044" s="7">
        <v>46167</v>
      </c>
      <c r="B2044" t="s">
        <v>95</v>
      </c>
      <c r="C2044" t="s">
        <v>105</v>
      </c>
      <c r="D2044" s="8">
        <v>-94.65</v>
      </c>
    </row>
    <row r="2045" spans="1:4" x14ac:dyDescent="0.45">
      <c r="A2045" s="7">
        <v>45884</v>
      </c>
      <c r="B2045" t="s">
        <v>93</v>
      </c>
      <c r="C2045" t="s">
        <v>106</v>
      </c>
      <c r="D2045" s="8">
        <v>265.33</v>
      </c>
    </row>
    <row r="2046" spans="1:4" x14ac:dyDescent="0.45">
      <c r="A2046" s="7">
        <v>45775</v>
      </c>
      <c r="B2046" t="s">
        <v>97</v>
      </c>
      <c r="C2046" t="s">
        <v>104</v>
      </c>
      <c r="D2046" s="8">
        <v>-18.47</v>
      </c>
    </row>
    <row r="2047" spans="1:4" x14ac:dyDescent="0.45">
      <c r="A2047" s="7">
        <v>46148</v>
      </c>
      <c r="B2047" t="s">
        <v>97</v>
      </c>
      <c r="C2047" t="s">
        <v>101</v>
      </c>
      <c r="D2047" s="8">
        <v>-6.7</v>
      </c>
    </row>
    <row r="2048" spans="1:4" x14ac:dyDescent="0.45">
      <c r="A2048" s="7">
        <v>45543</v>
      </c>
      <c r="B2048" t="s">
        <v>97</v>
      </c>
      <c r="C2048" t="s">
        <v>101</v>
      </c>
      <c r="D2048" s="8">
        <v>-45.8</v>
      </c>
    </row>
    <row r="2049" spans="1:4" x14ac:dyDescent="0.45">
      <c r="A2049" s="7">
        <v>45520</v>
      </c>
      <c r="B2049" t="s">
        <v>95</v>
      </c>
      <c r="C2049" t="s">
        <v>102</v>
      </c>
      <c r="D2049" s="8">
        <v>316.91000000000003</v>
      </c>
    </row>
    <row r="2050" spans="1:4" x14ac:dyDescent="0.45">
      <c r="A2050" s="7">
        <v>46056</v>
      </c>
      <c r="B2050" t="s">
        <v>95</v>
      </c>
      <c r="C2050" t="s">
        <v>99</v>
      </c>
      <c r="D2050" s="8">
        <v>485.18</v>
      </c>
    </row>
    <row r="2051" spans="1:4" x14ac:dyDescent="0.45">
      <c r="A2051" s="7">
        <v>45728</v>
      </c>
      <c r="B2051" t="s">
        <v>93</v>
      </c>
      <c r="C2051" t="s">
        <v>100</v>
      </c>
      <c r="D2051" s="8">
        <v>315.29000000000002</v>
      </c>
    </row>
    <row r="2052" spans="1:4" x14ac:dyDescent="0.45">
      <c r="A2052" s="7">
        <v>46103</v>
      </c>
      <c r="B2052" t="s">
        <v>97</v>
      </c>
      <c r="C2052" t="s">
        <v>107</v>
      </c>
      <c r="D2052" s="8">
        <v>374.76</v>
      </c>
    </row>
    <row r="2053" spans="1:4" x14ac:dyDescent="0.45">
      <c r="A2053" s="7">
        <v>46144</v>
      </c>
      <c r="B2053" t="s">
        <v>97</v>
      </c>
      <c r="C2053" t="s">
        <v>104</v>
      </c>
      <c r="D2053" s="8">
        <v>287.74</v>
      </c>
    </row>
    <row r="2054" spans="1:4" x14ac:dyDescent="0.45">
      <c r="A2054" s="7">
        <v>45328</v>
      </c>
      <c r="B2054" t="s">
        <v>95</v>
      </c>
      <c r="C2054" t="s">
        <v>102</v>
      </c>
      <c r="D2054" s="8">
        <v>-122.41</v>
      </c>
    </row>
    <row r="2055" spans="1:4" x14ac:dyDescent="0.45">
      <c r="A2055" s="7">
        <v>45669</v>
      </c>
      <c r="B2055" t="s">
        <v>95</v>
      </c>
      <c r="C2055" t="s">
        <v>109</v>
      </c>
      <c r="D2055" s="8">
        <v>3.2</v>
      </c>
    </row>
    <row r="2056" spans="1:4" x14ac:dyDescent="0.45">
      <c r="A2056" s="7">
        <v>46113</v>
      </c>
      <c r="B2056" t="s">
        <v>93</v>
      </c>
      <c r="C2056" t="s">
        <v>103</v>
      </c>
      <c r="D2056" s="8">
        <v>160.69</v>
      </c>
    </row>
    <row r="2057" spans="1:4" x14ac:dyDescent="0.45">
      <c r="A2057" s="7">
        <v>45715</v>
      </c>
      <c r="B2057" t="s">
        <v>95</v>
      </c>
      <c r="C2057" t="s">
        <v>99</v>
      </c>
      <c r="D2057" s="8">
        <v>262.18</v>
      </c>
    </row>
    <row r="2058" spans="1:4" x14ac:dyDescent="0.45">
      <c r="A2058" s="7">
        <v>45431</v>
      </c>
      <c r="B2058" t="s">
        <v>97</v>
      </c>
      <c r="C2058" t="s">
        <v>101</v>
      </c>
      <c r="D2058" s="8">
        <v>499.93</v>
      </c>
    </row>
    <row r="2059" spans="1:4" x14ac:dyDescent="0.45">
      <c r="A2059" s="7">
        <v>45446</v>
      </c>
      <c r="B2059" t="s">
        <v>95</v>
      </c>
      <c r="C2059" t="s">
        <v>108</v>
      </c>
      <c r="D2059" s="8">
        <v>416.18</v>
      </c>
    </row>
    <row r="2060" spans="1:4" x14ac:dyDescent="0.45">
      <c r="A2060" s="7">
        <v>45356</v>
      </c>
      <c r="B2060" t="s">
        <v>95</v>
      </c>
      <c r="C2060" t="s">
        <v>109</v>
      </c>
      <c r="D2060" s="8">
        <v>-24.28</v>
      </c>
    </row>
    <row r="2061" spans="1:4" x14ac:dyDescent="0.45">
      <c r="A2061" s="7">
        <v>45447</v>
      </c>
      <c r="B2061" t="s">
        <v>93</v>
      </c>
      <c r="C2061" t="s">
        <v>103</v>
      </c>
      <c r="D2061" s="8">
        <v>-34.75</v>
      </c>
    </row>
    <row r="2062" spans="1:4" x14ac:dyDescent="0.45">
      <c r="A2062" s="7">
        <v>45412</v>
      </c>
      <c r="B2062" t="s">
        <v>93</v>
      </c>
      <c r="C2062" t="s">
        <v>94</v>
      </c>
      <c r="D2062" s="8">
        <v>336.71</v>
      </c>
    </row>
    <row r="2063" spans="1:4" x14ac:dyDescent="0.45">
      <c r="A2063" s="7">
        <v>45841</v>
      </c>
      <c r="B2063" t="s">
        <v>97</v>
      </c>
      <c r="C2063" t="s">
        <v>98</v>
      </c>
      <c r="D2063" s="8">
        <v>92.05</v>
      </c>
    </row>
    <row r="2064" spans="1:4" x14ac:dyDescent="0.45">
      <c r="A2064" s="7">
        <v>46138</v>
      </c>
      <c r="B2064" t="s">
        <v>97</v>
      </c>
      <c r="C2064" t="s">
        <v>98</v>
      </c>
      <c r="D2064" s="8">
        <v>364.3</v>
      </c>
    </row>
    <row r="2065" spans="1:4" x14ac:dyDescent="0.45">
      <c r="A2065" s="7">
        <v>45371</v>
      </c>
      <c r="B2065" t="s">
        <v>97</v>
      </c>
      <c r="C2065" t="s">
        <v>98</v>
      </c>
      <c r="D2065" s="8">
        <v>-43.18</v>
      </c>
    </row>
    <row r="2066" spans="1:4" x14ac:dyDescent="0.45">
      <c r="A2066" s="7">
        <v>46020</v>
      </c>
      <c r="B2066" t="s">
        <v>93</v>
      </c>
      <c r="C2066" t="s">
        <v>106</v>
      </c>
      <c r="D2066" s="8">
        <v>45.47</v>
      </c>
    </row>
    <row r="2067" spans="1:4" x14ac:dyDescent="0.45">
      <c r="A2067" s="7">
        <v>45312</v>
      </c>
      <c r="B2067" t="s">
        <v>93</v>
      </c>
      <c r="C2067" t="s">
        <v>94</v>
      </c>
      <c r="D2067" s="8">
        <v>469.77</v>
      </c>
    </row>
    <row r="2068" spans="1:4" x14ac:dyDescent="0.45">
      <c r="A2068" s="7">
        <v>45791</v>
      </c>
      <c r="B2068" t="s">
        <v>93</v>
      </c>
      <c r="C2068" t="s">
        <v>106</v>
      </c>
      <c r="D2068" s="8">
        <v>457.06</v>
      </c>
    </row>
    <row r="2069" spans="1:4" x14ac:dyDescent="0.45">
      <c r="A2069" s="7">
        <v>45834</v>
      </c>
      <c r="B2069" t="s">
        <v>93</v>
      </c>
      <c r="C2069" t="s">
        <v>103</v>
      </c>
      <c r="D2069" s="8">
        <v>81.36</v>
      </c>
    </row>
    <row r="2070" spans="1:4" x14ac:dyDescent="0.45">
      <c r="A2070" s="7">
        <v>45502</v>
      </c>
      <c r="B2070" t="s">
        <v>97</v>
      </c>
      <c r="C2070" t="s">
        <v>101</v>
      </c>
      <c r="D2070" s="8">
        <v>-135.71</v>
      </c>
    </row>
    <row r="2071" spans="1:4" x14ac:dyDescent="0.45">
      <c r="A2071" s="7">
        <v>45924</v>
      </c>
      <c r="B2071" t="s">
        <v>97</v>
      </c>
      <c r="C2071" t="s">
        <v>107</v>
      </c>
      <c r="D2071" s="8">
        <v>35.880000000000003</v>
      </c>
    </row>
    <row r="2072" spans="1:4" x14ac:dyDescent="0.45">
      <c r="A2072" s="7">
        <v>45904</v>
      </c>
      <c r="B2072" t="s">
        <v>93</v>
      </c>
      <c r="C2072" t="s">
        <v>100</v>
      </c>
      <c r="D2072" s="8">
        <v>492.04</v>
      </c>
    </row>
    <row r="2073" spans="1:4" x14ac:dyDescent="0.45">
      <c r="A2073" s="7">
        <v>45833</v>
      </c>
      <c r="B2073" t="s">
        <v>93</v>
      </c>
      <c r="C2073" t="s">
        <v>106</v>
      </c>
      <c r="D2073" s="8">
        <v>90.6</v>
      </c>
    </row>
    <row r="2074" spans="1:4" x14ac:dyDescent="0.45">
      <c r="A2074" s="7">
        <v>46190</v>
      </c>
      <c r="B2074" t="s">
        <v>97</v>
      </c>
      <c r="C2074" t="s">
        <v>104</v>
      </c>
      <c r="D2074" s="8">
        <v>15.19</v>
      </c>
    </row>
    <row r="2075" spans="1:4" x14ac:dyDescent="0.45">
      <c r="A2075" s="7">
        <v>45560</v>
      </c>
      <c r="B2075" t="s">
        <v>97</v>
      </c>
      <c r="C2075" t="s">
        <v>98</v>
      </c>
      <c r="D2075" s="8">
        <v>34.54</v>
      </c>
    </row>
    <row r="2076" spans="1:4" x14ac:dyDescent="0.45">
      <c r="A2076" s="7">
        <v>45987</v>
      </c>
      <c r="B2076" t="s">
        <v>97</v>
      </c>
      <c r="C2076" t="s">
        <v>107</v>
      </c>
      <c r="D2076" s="8">
        <v>123.77</v>
      </c>
    </row>
    <row r="2077" spans="1:4" x14ac:dyDescent="0.45">
      <c r="A2077" s="7">
        <v>46166</v>
      </c>
      <c r="B2077" t="s">
        <v>93</v>
      </c>
      <c r="C2077" t="s">
        <v>94</v>
      </c>
      <c r="D2077" s="8">
        <v>374.55</v>
      </c>
    </row>
    <row r="2078" spans="1:4" x14ac:dyDescent="0.45">
      <c r="A2078" s="7">
        <v>45723</v>
      </c>
      <c r="B2078" t="s">
        <v>95</v>
      </c>
      <c r="C2078" t="s">
        <v>102</v>
      </c>
      <c r="D2078" s="8">
        <v>-47.83</v>
      </c>
    </row>
    <row r="2079" spans="1:4" x14ac:dyDescent="0.45">
      <c r="A2079" s="7">
        <v>45638</v>
      </c>
      <c r="B2079" t="s">
        <v>95</v>
      </c>
      <c r="C2079" t="s">
        <v>96</v>
      </c>
      <c r="D2079" s="8">
        <v>99.14</v>
      </c>
    </row>
    <row r="2080" spans="1:4" x14ac:dyDescent="0.45">
      <c r="A2080" s="7">
        <v>45708</v>
      </c>
      <c r="B2080" t="s">
        <v>97</v>
      </c>
      <c r="C2080" t="s">
        <v>98</v>
      </c>
      <c r="D2080" s="8">
        <v>85.78</v>
      </c>
    </row>
    <row r="2081" spans="1:4" x14ac:dyDescent="0.45">
      <c r="A2081" s="7">
        <v>45752</v>
      </c>
      <c r="B2081" t="s">
        <v>93</v>
      </c>
      <c r="C2081" t="s">
        <v>103</v>
      </c>
      <c r="D2081" s="8">
        <v>80.2</v>
      </c>
    </row>
    <row r="2082" spans="1:4" x14ac:dyDescent="0.45">
      <c r="A2082" s="7">
        <v>45670</v>
      </c>
      <c r="B2082" t="s">
        <v>93</v>
      </c>
      <c r="C2082" t="s">
        <v>100</v>
      </c>
      <c r="D2082" s="8">
        <v>321.86</v>
      </c>
    </row>
    <row r="2083" spans="1:4" x14ac:dyDescent="0.45">
      <c r="A2083" s="7">
        <v>45790</v>
      </c>
      <c r="B2083" t="s">
        <v>93</v>
      </c>
      <c r="C2083" t="s">
        <v>94</v>
      </c>
      <c r="D2083" s="8">
        <v>-142.29</v>
      </c>
    </row>
    <row r="2084" spans="1:4" x14ac:dyDescent="0.45">
      <c r="A2084" s="7">
        <v>45811</v>
      </c>
      <c r="B2084" t="s">
        <v>93</v>
      </c>
      <c r="C2084" t="s">
        <v>94</v>
      </c>
      <c r="D2084" s="8">
        <v>-7.35</v>
      </c>
    </row>
    <row r="2085" spans="1:4" x14ac:dyDescent="0.45">
      <c r="A2085" s="7">
        <v>45603</v>
      </c>
      <c r="B2085" t="s">
        <v>95</v>
      </c>
      <c r="C2085" t="s">
        <v>108</v>
      </c>
      <c r="D2085" s="8">
        <v>153</v>
      </c>
    </row>
    <row r="2086" spans="1:4" x14ac:dyDescent="0.45">
      <c r="A2086" s="7">
        <v>45913</v>
      </c>
      <c r="B2086" t="s">
        <v>97</v>
      </c>
      <c r="C2086" t="s">
        <v>98</v>
      </c>
      <c r="D2086" s="8">
        <v>159.56</v>
      </c>
    </row>
    <row r="2087" spans="1:4" x14ac:dyDescent="0.45">
      <c r="A2087" s="7">
        <v>45526</v>
      </c>
      <c r="B2087" t="s">
        <v>93</v>
      </c>
      <c r="C2087" t="s">
        <v>94</v>
      </c>
      <c r="D2087" s="8">
        <v>191.12</v>
      </c>
    </row>
    <row r="2088" spans="1:4" x14ac:dyDescent="0.45">
      <c r="A2088" s="7">
        <v>45690</v>
      </c>
      <c r="B2088" t="s">
        <v>95</v>
      </c>
      <c r="C2088" t="s">
        <v>109</v>
      </c>
      <c r="D2088" s="8">
        <v>95.72</v>
      </c>
    </row>
    <row r="2089" spans="1:4" x14ac:dyDescent="0.45">
      <c r="A2089" s="7">
        <v>45453</v>
      </c>
      <c r="B2089" t="s">
        <v>93</v>
      </c>
      <c r="C2089" t="s">
        <v>106</v>
      </c>
      <c r="D2089" s="8">
        <v>269.54000000000002</v>
      </c>
    </row>
    <row r="2090" spans="1:4" x14ac:dyDescent="0.45">
      <c r="A2090" s="7">
        <v>46151</v>
      </c>
      <c r="B2090" t="s">
        <v>95</v>
      </c>
      <c r="C2090" t="s">
        <v>102</v>
      </c>
      <c r="D2090" s="8">
        <v>442.41</v>
      </c>
    </row>
    <row r="2091" spans="1:4" x14ac:dyDescent="0.45">
      <c r="A2091" s="7">
        <v>45792</v>
      </c>
      <c r="B2091" t="s">
        <v>93</v>
      </c>
      <c r="C2091" t="s">
        <v>100</v>
      </c>
      <c r="D2091" s="8">
        <v>-112.21</v>
      </c>
    </row>
    <row r="2092" spans="1:4" x14ac:dyDescent="0.45">
      <c r="A2092" s="7">
        <v>45712</v>
      </c>
      <c r="B2092" t="s">
        <v>95</v>
      </c>
      <c r="C2092" t="s">
        <v>96</v>
      </c>
      <c r="D2092" s="8">
        <v>381.47</v>
      </c>
    </row>
    <row r="2093" spans="1:4" x14ac:dyDescent="0.45">
      <c r="A2093" s="7">
        <v>45305</v>
      </c>
      <c r="B2093" t="s">
        <v>93</v>
      </c>
      <c r="C2093" t="s">
        <v>100</v>
      </c>
      <c r="D2093" s="8">
        <v>75.98</v>
      </c>
    </row>
    <row r="2094" spans="1:4" x14ac:dyDescent="0.45">
      <c r="A2094" s="7">
        <v>45971</v>
      </c>
      <c r="B2094" t="s">
        <v>97</v>
      </c>
      <c r="C2094" t="s">
        <v>98</v>
      </c>
      <c r="D2094" s="8">
        <v>-144.88</v>
      </c>
    </row>
    <row r="2095" spans="1:4" x14ac:dyDescent="0.45">
      <c r="A2095" s="7">
        <v>46127</v>
      </c>
      <c r="B2095" t="s">
        <v>95</v>
      </c>
      <c r="C2095" t="s">
        <v>96</v>
      </c>
      <c r="D2095" s="8">
        <v>17.850000000000001</v>
      </c>
    </row>
    <row r="2096" spans="1:4" x14ac:dyDescent="0.45">
      <c r="A2096" s="7">
        <v>45969</v>
      </c>
      <c r="B2096" t="s">
        <v>97</v>
      </c>
      <c r="C2096" t="s">
        <v>101</v>
      </c>
      <c r="D2096" s="8">
        <v>323.35000000000002</v>
      </c>
    </row>
    <row r="2097" spans="1:4" x14ac:dyDescent="0.45">
      <c r="A2097" s="7">
        <v>45932</v>
      </c>
      <c r="B2097" t="s">
        <v>97</v>
      </c>
      <c r="C2097" t="s">
        <v>107</v>
      </c>
      <c r="D2097" s="8">
        <v>186.08</v>
      </c>
    </row>
    <row r="2098" spans="1:4" x14ac:dyDescent="0.45">
      <c r="A2098" s="7">
        <v>45319</v>
      </c>
      <c r="B2098" t="s">
        <v>97</v>
      </c>
      <c r="C2098" t="s">
        <v>98</v>
      </c>
      <c r="D2098" s="8">
        <v>-64.53</v>
      </c>
    </row>
    <row r="2099" spans="1:4" x14ac:dyDescent="0.45">
      <c r="A2099" s="7">
        <v>46025</v>
      </c>
      <c r="B2099" t="s">
        <v>95</v>
      </c>
      <c r="C2099" t="s">
        <v>109</v>
      </c>
      <c r="D2099" s="8">
        <v>-42.67</v>
      </c>
    </row>
    <row r="2100" spans="1:4" x14ac:dyDescent="0.45">
      <c r="A2100" s="7">
        <v>45910</v>
      </c>
      <c r="B2100" t="s">
        <v>95</v>
      </c>
      <c r="C2100" t="s">
        <v>99</v>
      </c>
      <c r="D2100" s="8">
        <v>171.37</v>
      </c>
    </row>
    <row r="2101" spans="1:4" x14ac:dyDescent="0.45">
      <c r="A2101" s="7">
        <v>46058</v>
      </c>
      <c r="B2101" t="s">
        <v>97</v>
      </c>
      <c r="C2101" t="s">
        <v>107</v>
      </c>
      <c r="D2101" s="8">
        <v>378.86</v>
      </c>
    </row>
    <row r="2102" spans="1:4" x14ac:dyDescent="0.45">
      <c r="A2102" s="7">
        <v>45511</v>
      </c>
      <c r="B2102" t="s">
        <v>93</v>
      </c>
      <c r="C2102" t="s">
        <v>100</v>
      </c>
      <c r="D2102" s="8">
        <v>121.5</v>
      </c>
    </row>
    <row r="2103" spans="1:4" x14ac:dyDescent="0.45">
      <c r="A2103" s="7">
        <v>45564</v>
      </c>
      <c r="B2103" t="s">
        <v>97</v>
      </c>
      <c r="C2103" t="s">
        <v>98</v>
      </c>
      <c r="D2103" s="8">
        <v>174.67</v>
      </c>
    </row>
    <row r="2104" spans="1:4" x14ac:dyDescent="0.45">
      <c r="A2104" s="7">
        <v>46176</v>
      </c>
      <c r="B2104" t="s">
        <v>97</v>
      </c>
      <c r="C2104" t="s">
        <v>98</v>
      </c>
      <c r="D2104" s="8">
        <v>426.41</v>
      </c>
    </row>
    <row r="2105" spans="1:4" x14ac:dyDescent="0.45">
      <c r="A2105" s="7">
        <v>45769</v>
      </c>
      <c r="B2105" t="s">
        <v>93</v>
      </c>
      <c r="C2105" t="s">
        <v>94</v>
      </c>
      <c r="D2105" s="8">
        <v>434.63</v>
      </c>
    </row>
    <row r="2106" spans="1:4" x14ac:dyDescent="0.45">
      <c r="A2106" s="7">
        <v>45649</v>
      </c>
      <c r="B2106" t="s">
        <v>97</v>
      </c>
      <c r="C2106" t="s">
        <v>98</v>
      </c>
      <c r="D2106" s="8">
        <v>32.89</v>
      </c>
    </row>
    <row r="2107" spans="1:4" x14ac:dyDescent="0.45">
      <c r="A2107" s="7">
        <v>45296</v>
      </c>
      <c r="B2107" t="s">
        <v>93</v>
      </c>
      <c r="C2107" t="s">
        <v>94</v>
      </c>
      <c r="D2107" s="8">
        <v>442.8</v>
      </c>
    </row>
    <row r="2108" spans="1:4" x14ac:dyDescent="0.45">
      <c r="A2108" s="7">
        <v>45927</v>
      </c>
      <c r="B2108" t="s">
        <v>93</v>
      </c>
      <c r="C2108" t="s">
        <v>103</v>
      </c>
      <c r="D2108" s="8">
        <v>412.81</v>
      </c>
    </row>
    <row r="2109" spans="1:4" x14ac:dyDescent="0.45">
      <c r="A2109" s="7">
        <v>46002</v>
      </c>
      <c r="B2109" t="s">
        <v>97</v>
      </c>
      <c r="C2109" t="s">
        <v>101</v>
      </c>
      <c r="D2109" s="8">
        <v>354.26</v>
      </c>
    </row>
    <row r="2110" spans="1:4" x14ac:dyDescent="0.45">
      <c r="A2110" s="7">
        <v>45997</v>
      </c>
      <c r="B2110" t="s">
        <v>97</v>
      </c>
      <c r="C2110" t="s">
        <v>104</v>
      </c>
      <c r="D2110" s="8">
        <v>409.1</v>
      </c>
    </row>
    <row r="2111" spans="1:4" x14ac:dyDescent="0.45">
      <c r="A2111" s="7">
        <v>45304</v>
      </c>
      <c r="B2111" t="s">
        <v>93</v>
      </c>
      <c r="C2111" t="s">
        <v>106</v>
      </c>
      <c r="D2111" s="8">
        <v>236.58</v>
      </c>
    </row>
    <row r="2112" spans="1:4" x14ac:dyDescent="0.45">
      <c r="A2112" s="7">
        <v>45328</v>
      </c>
      <c r="B2112" t="s">
        <v>95</v>
      </c>
      <c r="C2112" t="s">
        <v>102</v>
      </c>
      <c r="D2112" s="8">
        <v>-112.84</v>
      </c>
    </row>
    <row r="2113" spans="1:4" x14ac:dyDescent="0.45">
      <c r="A2113" s="7">
        <v>45642</v>
      </c>
      <c r="B2113" t="s">
        <v>95</v>
      </c>
      <c r="C2113" t="s">
        <v>105</v>
      </c>
      <c r="D2113" s="8">
        <v>119.11</v>
      </c>
    </row>
    <row r="2114" spans="1:4" x14ac:dyDescent="0.45">
      <c r="A2114" s="7">
        <v>46187</v>
      </c>
      <c r="B2114" t="s">
        <v>95</v>
      </c>
      <c r="C2114" t="s">
        <v>99</v>
      </c>
      <c r="D2114" s="8">
        <v>210.46</v>
      </c>
    </row>
    <row r="2115" spans="1:4" x14ac:dyDescent="0.45">
      <c r="A2115" s="7">
        <v>45952</v>
      </c>
      <c r="B2115" t="s">
        <v>93</v>
      </c>
      <c r="C2115" t="s">
        <v>103</v>
      </c>
      <c r="D2115" s="8">
        <v>458.76</v>
      </c>
    </row>
    <row r="2116" spans="1:4" x14ac:dyDescent="0.45">
      <c r="A2116" s="7">
        <v>45497</v>
      </c>
      <c r="B2116" t="s">
        <v>97</v>
      </c>
      <c r="C2116" t="s">
        <v>107</v>
      </c>
      <c r="D2116" s="8">
        <v>286.31</v>
      </c>
    </row>
    <row r="2117" spans="1:4" x14ac:dyDescent="0.45">
      <c r="A2117" s="7">
        <v>45643</v>
      </c>
      <c r="B2117" t="s">
        <v>93</v>
      </c>
      <c r="C2117" t="s">
        <v>100</v>
      </c>
      <c r="D2117" s="8">
        <v>341.79</v>
      </c>
    </row>
    <row r="2118" spans="1:4" x14ac:dyDescent="0.45">
      <c r="A2118" s="7">
        <v>46189</v>
      </c>
      <c r="B2118" t="s">
        <v>95</v>
      </c>
      <c r="C2118" t="s">
        <v>105</v>
      </c>
      <c r="D2118" s="8">
        <v>-142.30000000000001</v>
      </c>
    </row>
    <row r="2119" spans="1:4" x14ac:dyDescent="0.45">
      <c r="A2119" s="7">
        <v>46129</v>
      </c>
      <c r="B2119" t="s">
        <v>93</v>
      </c>
      <c r="C2119" t="s">
        <v>100</v>
      </c>
      <c r="D2119" s="8">
        <v>479.83</v>
      </c>
    </row>
    <row r="2120" spans="1:4" x14ac:dyDescent="0.45">
      <c r="A2120" s="7">
        <v>45363</v>
      </c>
      <c r="B2120" t="s">
        <v>97</v>
      </c>
      <c r="C2120" t="s">
        <v>101</v>
      </c>
      <c r="D2120" s="8">
        <v>-144.31</v>
      </c>
    </row>
    <row r="2121" spans="1:4" x14ac:dyDescent="0.45">
      <c r="A2121" s="7">
        <v>45847</v>
      </c>
      <c r="B2121" t="s">
        <v>95</v>
      </c>
      <c r="C2121" t="s">
        <v>102</v>
      </c>
      <c r="D2121" s="8">
        <v>122.77</v>
      </c>
    </row>
    <row r="2122" spans="1:4" x14ac:dyDescent="0.45">
      <c r="A2122" s="7">
        <v>45917</v>
      </c>
      <c r="B2122" t="s">
        <v>95</v>
      </c>
      <c r="C2122" t="s">
        <v>105</v>
      </c>
      <c r="D2122" s="8">
        <v>270.99</v>
      </c>
    </row>
    <row r="2123" spans="1:4" x14ac:dyDescent="0.45">
      <c r="A2123" s="7">
        <v>46109</v>
      </c>
      <c r="B2123" t="s">
        <v>97</v>
      </c>
      <c r="C2123" t="s">
        <v>101</v>
      </c>
      <c r="D2123" s="8">
        <v>-142.02000000000001</v>
      </c>
    </row>
    <row r="2124" spans="1:4" x14ac:dyDescent="0.45">
      <c r="A2124" s="7">
        <v>45899</v>
      </c>
      <c r="B2124" t="s">
        <v>97</v>
      </c>
      <c r="C2124" t="s">
        <v>101</v>
      </c>
      <c r="D2124" s="8">
        <v>67.09</v>
      </c>
    </row>
    <row r="2125" spans="1:4" x14ac:dyDescent="0.45">
      <c r="A2125" s="7">
        <v>45327</v>
      </c>
      <c r="B2125" t="s">
        <v>93</v>
      </c>
      <c r="C2125" t="s">
        <v>100</v>
      </c>
      <c r="D2125" s="8">
        <v>453.13</v>
      </c>
    </row>
    <row r="2126" spans="1:4" x14ac:dyDescent="0.45">
      <c r="A2126" s="7">
        <v>46090</v>
      </c>
      <c r="B2126" t="s">
        <v>93</v>
      </c>
      <c r="C2126" t="s">
        <v>103</v>
      </c>
      <c r="D2126" s="8">
        <v>306.69</v>
      </c>
    </row>
    <row r="2127" spans="1:4" x14ac:dyDescent="0.45">
      <c r="A2127" s="7">
        <v>45779</v>
      </c>
      <c r="B2127" t="s">
        <v>97</v>
      </c>
      <c r="C2127" t="s">
        <v>98</v>
      </c>
      <c r="D2127" s="8">
        <v>391.89</v>
      </c>
    </row>
    <row r="2128" spans="1:4" x14ac:dyDescent="0.45">
      <c r="A2128" s="7">
        <v>45556</v>
      </c>
      <c r="B2128" t="s">
        <v>93</v>
      </c>
      <c r="C2128" t="s">
        <v>106</v>
      </c>
      <c r="D2128" s="8">
        <v>150.6</v>
      </c>
    </row>
    <row r="2129" spans="1:4" x14ac:dyDescent="0.45">
      <c r="A2129" s="7">
        <v>45425</v>
      </c>
      <c r="B2129" t="s">
        <v>95</v>
      </c>
      <c r="C2129" t="s">
        <v>96</v>
      </c>
      <c r="D2129" s="8">
        <v>-142.58000000000001</v>
      </c>
    </row>
    <row r="2130" spans="1:4" x14ac:dyDescent="0.45">
      <c r="A2130" s="7">
        <v>45494</v>
      </c>
      <c r="B2130" t="s">
        <v>97</v>
      </c>
      <c r="C2130" t="s">
        <v>104</v>
      </c>
      <c r="D2130" s="8">
        <v>103.35</v>
      </c>
    </row>
    <row r="2131" spans="1:4" x14ac:dyDescent="0.45">
      <c r="A2131" s="7">
        <v>46046</v>
      </c>
      <c r="B2131" t="s">
        <v>93</v>
      </c>
      <c r="C2131" t="s">
        <v>94</v>
      </c>
      <c r="D2131" s="8">
        <v>436.26</v>
      </c>
    </row>
    <row r="2132" spans="1:4" x14ac:dyDescent="0.45">
      <c r="A2132" s="7">
        <v>45327</v>
      </c>
      <c r="B2132" t="s">
        <v>93</v>
      </c>
      <c r="C2132" t="s">
        <v>100</v>
      </c>
      <c r="D2132" s="8">
        <v>192.24</v>
      </c>
    </row>
    <row r="2133" spans="1:4" x14ac:dyDescent="0.45">
      <c r="A2133" s="7">
        <v>45435</v>
      </c>
      <c r="B2133" t="s">
        <v>95</v>
      </c>
      <c r="C2133" t="s">
        <v>108</v>
      </c>
      <c r="D2133" s="8">
        <v>267.52999999999997</v>
      </c>
    </row>
    <row r="2134" spans="1:4" x14ac:dyDescent="0.45">
      <c r="A2134" s="7">
        <v>45716</v>
      </c>
      <c r="B2134" t="s">
        <v>95</v>
      </c>
      <c r="C2134" t="s">
        <v>99</v>
      </c>
      <c r="D2134" s="8">
        <v>208.11</v>
      </c>
    </row>
    <row r="2135" spans="1:4" x14ac:dyDescent="0.45">
      <c r="A2135" s="7">
        <v>45511</v>
      </c>
      <c r="B2135" t="s">
        <v>97</v>
      </c>
      <c r="C2135" t="s">
        <v>104</v>
      </c>
      <c r="D2135" s="8">
        <v>438.84</v>
      </c>
    </row>
    <row r="2136" spans="1:4" x14ac:dyDescent="0.45">
      <c r="A2136" s="7">
        <v>45832</v>
      </c>
      <c r="B2136" t="s">
        <v>95</v>
      </c>
      <c r="C2136" t="s">
        <v>102</v>
      </c>
      <c r="D2136" s="8">
        <v>311.49</v>
      </c>
    </row>
    <row r="2137" spans="1:4" x14ac:dyDescent="0.45">
      <c r="A2137" s="7">
        <v>45491</v>
      </c>
      <c r="B2137" t="s">
        <v>93</v>
      </c>
      <c r="C2137" t="s">
        <v>100</v>
      </c>
      <c r="D2137" s="8">
        <v>385.74</v>
      </c>
    </row>
    <row r="2138" spans="1:4" x14ac:dyDescent="0.45">
      <c r="A2138" s="7">
        <v>45859</v>
      </c>
      <c r="B2138" t="s">
        <v>93</v>
      </c>
      <c r="C2138" t="s">
        <v>100</v>
      </c>
      <c r="D2138" s="8">
        <v>43.56</v>
      </c>
    </row>
    <row r="2139" spans="1:4" x14ac:dyDescent="0.45">
      <c r="A2139" s="7">
        <v>45880</v>
      </c>
      <c r="B2139" t="s">
        <v>95</v>
      </c>
      <c r="C2139" t="s">
        <v>105</v>
      </c>
      <c r="D2139" s="8">
        <v>-149.91999999999999</v>
      </c>
    </row>
    <row r="2140" spans="1:4" x14ac:dyDescent="0.45">
      <c r="A2140" s="7">
        <v>45598</v>
      </c>
      <c r="B2140" t="s">
        <v>93</v>
      </c>
      <c r="C2140" t="s">
        <v>103</v>
      </c>
      <c r="D2140" s="8">
        <v>380.2</v>
      </c>
    </row>
    <row r="2141" spans="1:4" x14ac:dyDescent="0.45">
      <c r="A2141" s="7">
        <v>45491</v>
      </c>
      <c r="B2141" t="s">
        <v>93</v>
      </c>
      <c r="C2141" t="s">
        <v>106</v>
      </c>
      <c r="D2141" s="8">
        <v>360.36</v>
      </c>
    </row>
    <row r="2142" spans="1:4" x14ac:dyDescent="0.45">
      <c r="A2142" s="7">
        <v>46127</v>
      </c>
      <c r="B2142" t="s">
        <v>95</v>
      </c>
      <c r="C2142" t="s">
        <v>109</v>
      </c>
      <c r="D2142" s="8">
        <v>124.14</v>
      </c>
    </row>
    <row r="2143" spans="1:4" x14ac:dyDescent="0.45">
      <c r="A2143" s="7">
        <v>45570</v>
      </c>
      <c r="B2143" t="s">
        <v>97</v>
      </c>
      <c r="C2143" t="s">
        <v>98</v>
      </c>
      <c r="D2143" s="8">
        <v>492.19</v>
      </c>
    </row>
    <row r="2144" spans="1:4" x14ac:dyDescent="0.45">
      <c r="A2144" s="7">
        <v>45866</v>
      </c>
      <c r="B2144" t="s">
        <v>97</v>
      </c>
      <c r="C2144" t="s">
        <v>104</v>
      </c>
      <c r="D2144" s="8">
        <v>437.28</v>
      </c>
    </row>
    <row r="2145" spans="1:4" x14ac:dyDescent="0.45">
      <c r="A2145" s="7">
        <v>45721</v>
      </c>
      <c r="B2145" t="s">
        <v>95</v>
      </c>
      <c r="C2145" t="s">
        <v>102</v>
      </c>
      <c r="D2145" s="8">
        <v>-38.15</v>
      </c>
    </row>
    <row r="2146" spans="1:4" x14ac:dyDescent="0.45">
      <c r="A2146" s="7">
        <v>45511</v>
      </c>
      <c r="B2146" t="s">
        <v>95</v>
      </c>
      <c r="C2146" t="s">
        <v>99</v>
      </c>
      <c r="D2146" s="8">
        <v>-5.89</v>
      </c>
    </row>
    <row r="2147" spans="1:4" x14ac:dyDescent="0.45">
      <c r="A2147" s="7">
        <v>45608</v>
      </c>
      <c r="B2147" t="s">
        <v>95</v>
      </c>
      <c r="C2147" t="s">
        <v>109</v>
      </c>
      <c r="D2147" s="8">
        <v>302.62</v>
      </c>
    </row>
    <row r="2148" spans="1:4" x14ac:dyDescent="0.45">
      <c r="A2148" s="7">
        <v>45406</v>
      </c>
      <c r="B2148" t="s">
        <v>95</v>
      </c>
      <c r="C2148" t="s">
        <v>96</v>
      </c>
      <c r="D2148" s="8">
        <v>327.74</v>
      </c>
    </row>
    <row r="2149" spans="1:4" x14ac:dyDescent="0.45">
      <c r="A2149" s="7">
        <v>45491</v>
      </c>
      <c r="B2149" t="s">
        <v>93</v>
      </c>
      <c r="C2149" t="s">
        <v>94</v>
      </c>
      <c r="D2149" s="8">
        <v>-147.09</v>
      </c>
    </row>
    <row r="2150" spans="1:4" x14ac:dyDescent="0.45">
      <c r="A2150" s="7">
        <v>46112</v>
      </c>
      <c r="B2150" t="s">
        <v>93</v>
      </c>
      <c r="C2150" t="s">
        <v>106</v>
      </c>
      <c r="D2150" s="8">
        <v>460.82</v>
      </c>
    </row>
    <row r="2151" spans="1:4" x14ac:dyDescent="0.45">
      <c r="A2151" s="7">
        <v>45388</v>
      </c>
      <c r="B2151" t="s">
        <v>93</v>
      </c>
      <c r="C2151" t="s">
        <v>103</v>
      </c>
      <c r="D2151" s="8">
        <v>275.52</v>
      </c>
    </row>
    <row r="2152" spans="1:4" x14ac:dyDescent="0.45">
      <c r="A2152" s="7">
        <v>45803</v>
      </c>
      <c r="B2152" t="s">
        <v>95</v>
      </c>
      <c r="C2152" t="s">
        <v>96</v>
      </c>
      <c r="D2152" s="8">
        <v>353.38</v>
      </c>
    </row>
    <row r="2153" spans="1:4" x14ac:dyDescent="0.45">
      <c r="A2153" s="7">
        <v>45490</v>
      </c>
      <c r="B2153" t="s">
        <v>97</v>
      </c>
      <c r="C2153" t="s">
        <v>104</v>
      </c>
      <c r="D2153" s="8">
        <v>143.1</v>
      </c>
    </row>
    <row r="2154" spans="1:4" x14ac:dyDescent="0.45">
      <c r="A2154" s="7">
        <v>45810</v>
      </c>
      <c r="B2154" t="s">
        <v>97</v>
      </c>
      <c r="C2154" t="s">
        <v>98</v>
      </c>
      <c r="D2154" s="8">
        <v>217.07</v>
      </c>
    </row>
    <row r="2155" spans="1:4" x14ac:dyDescent="0.45">
      <c r="A2155" s="7">
        <v>46063</v>
      </c>
      <c r="B2155" t="s">
        <v>95</v>
      </c>
      <c r="C2155" t="s">
        <v>102</v>
      </c>
      <c r="D2155" s="8">
        <v>-79.930000000000007</v>
      </c>
    </row>
    <row r="2156" spans="1:4" x14ac:dyDescent="0.45">
      <c r="A2156" s="7">
        <v>45792</v>
      </c>
      <c r="B2156" t="s">
        <v>97</v>
      </c>
      <c r="C2156" t="s">
        <v>104</v>
      </c>
      <c r="D2156" s="8">
        <v>400.75</v>
      </c>
    </row>
    <row r="2157" spans="1:4" x14ac:dyDescent="0.45">
      <c r="A2157" s="7">
        <v>45780</v>
      </c>
      <c r="B2157" t="s">
        <v>97</v>
      </c>
      <c r="C2157" t="s">
        <v>98</v>
      </c>
      <c r="D2157" s="8">
        <v>-74.989999999999995</v>
      </c>
    </row>
    <row r="2158" spans="1:4" x14ac:dyDescent="0.45">
      <c r="A2158" s="7">
        <v>45842</v>
      </c>
      <c r="B2158" t="s">
        <v>97</v>
      </c>
      <c r="C2158" t="s">
        <v>98</v>
      </c>
      <c r="D2158" s="8">
        <v>-101.64</v>
      </c>
    </row>
    <row r="2159" spans="1:4" x14ac:dyDescent="0.45">
      <c r="A2159" s="7">
        <v>45544</v>
      </c>
      <c r="B2159" t="s">
        <v>97</v>
      </c>
      <c r="C2159" t="s">
        <v>98</v>
      </c>
      <c r="D2159" s="8">
        <v>454.31</v>
      </c>
    </row>
    <row r="2160" spans="1:4" x14ac:dyDescent="0.45">
      <c r="A2160" s="7">
        <v>46057</v>
      </c>
      <c r="B2160" t="s">
        <v>93</v>
      </c>
      <c r="C2160" t="s">
        <v>103</v>
      </c>
      <c r="D2160" s="8">
        <v>47.93</v>
      </c>
    </row>
    <row r="2161" spans="1:4" x14ac:dyDescent="0.45">
      <c r="A2161" s="7">
        <v>46162</v>
      </c>
      <c r="B2161" t="s">
        <v>97</v>
      </c>
      <c r="C2161" t="s">
        <v>107</v>
      </c>
      <c r="D2161" s="8">
        <v>2.13</v>
      </c>
    </row>
    <row r="2162" spans="1:4" x14ac:dyDescent="0.45">
      <c r="A2162" s="7">
        <v>45850</v>
      </c>
      <c r="B2162" t="s">
        <v>97</v>
      </c>
      <c r="C2162" t="s">
        <v>101</v>
      </c>
      <c r="D2162" s="8">
        <v>-52.44</v>
      </c>
    </row>
    <row r="2163" spans="1:4" x14ac:dyDescent="0.45">
      <c r="A2163" s="7">
        <v>45697</v>
      </c>
      <c r="B2163" t="s">
        <v>97</v>
      </c>
      <c r="C2163" t="s">
        <v>101</v>
      </c>
      <c r="D2163" s="8">
        <v>355.62</v>
      </c>
    </row>
    <row r="2164" spans="1:4" x14ac:dyDescent="0.45">
      <c r="A2164" s="7">
        <v>45829</v>
      </c>
      <c r="B2164" t="s">
        <v>95</v>
      </c>
      <c r="C2164" t="s">
        <v>109</v>
      </c>
      <c r="D2164" s="8">
        <v>241.52</v>
      </c>
    </row>
    <row r="2165" spans="1:4" x14ac:dyDescent="0.45">
      <c r="A2165" s="7">
        <v>45767</v>
      </c>
      <c r="B2165" t="s">
        <v>97</v>
      </c>
      <c r="C2165" t="s">
        <v>98</v>
      </c>
      <c r="D2165" s="8">
        <v>21.85</v>
      </c>
    </row>
    <row r="2166" spans="1:4" x14ac:dyDescent="0.45">
      <c r="A2166" s="7">
        <v>45662</v>
      </c>
      <c r="B2166" t="s">
        <v>97</v>
      </c>
      <c r="C2166" t="s">
        <v>107</v>
      </c>
      <c r="D2166" s="8">
        <v>292.01</v>
      </c>
    </row>
    <row r="2167" spans="1:4" x14ac:dyDescent="0.45">
      <c r="A2167" s="7">
        <v>45579</v>
      </c>
      <c r="B2167" t="s">
        <v>97</v>
      </c>
      <c r="C2167" t="s">
        <v>107</v>
      </c>
      <c r="D2167" s="8">
        <v>155.96</v>
      </c>
    </row>
    <row r="2168" spans="1:4" x14ac:dyDescent="0.45">
      <c r="A2168" s="7">
        <v>45496</v>
      </c>
      <c r="B2168" t="s">
        <v>93</v>
      </c>
      <c r="C2168" t="s">
        <v>106</v>
      </c>
      <c r="D2168" s="8">
        <v>-49.1</v>
      </c>
    </row>
    <row r="2169" spans="1:4" x14ac:dyDescent="0.45">
      <c r="A2169" s="7">
        <v>45803</v>
      </c>
      <c r="B2169" t="s">
        <v>97</v>
      </c>
      <c r="C2169" t="s">
        <v>98</v>
      </c>
      <c r="D2169" s="8">
        <v>465.31</v>
      </c>
    </row>
    <row r="2170" spans="1:4" x14ac:dyDescent="0.45">
      <c r="A2170" s="7">
        <v>46013</v>
      </c>
      <c r="B2170" t="s">
        <v>95</v>
      </c>
      <c r="C2170" t="s">
        <v>102</v>
      </c>
      <c r="D2170" s="8">
        <v>375.56</v>
      </c>
    </row>
    <row r="2171" spans="1:4" x14ac:dyDescent="0.45">
      <c r="A2171" s="7">
        <v>45487</v>
      </c>
      <c r="B2171" t="s">
        <v>95</v>
      </c>
      <c r="C2171" t="s">
        <v>99</v>
      </c>
      <c r="D2171" s="8">
        <v>202.58</v>
      </c>
    </row>
    <row r="2172" spans="1:4" x14ac:dyDescent="0.45">
      <c r="A2172" s="7">
        <v>45365</v>
      </c>
      <c r="B2172" t="s">
        <v>97</v>
      </c>
      <c r="C2172" t="s">
        <v>98</v>
      </c>
      <c r="D2172" s="8">
        <v>457.69</v>
      </c>
    </row>
    <row r="2173" spans="1:4" x14ac:dyDescent="0.45">
      <c r="A2173" s="7">
        <v>46067</v>
      </c>
      <c r="B2173" t="s">
        <v>95</v>
      </c>
      <c r="C2173" t="s">
        <v>96</v>
      </c>
      <c r="D2173" s="8">
        <v>-132.41999999999999</v>
      </c>
    </row>
    <row r="2174" spans="1:4" x14ac:dyDescent="0.45">
      <c r="A2174" s="7">
        <v>45862</v>
      </c>
      <c r="B2174" t="s">
        <v>97</v>
      </c>
      <c r="C2174" t="s">
        <v>104</v>
      </c>
      <c r="D2174" s="8">
        <v>331.9</v>
      </c>
    </row>
    <row r="2175" spans="1:4" x14ac:dyDescent="0.45">
      <c r="A2175" s="7">
        <v>45631</v>
      </c>
      <c r="B2175" t="s">
        <v>97</v>
      </c>
      <c r="C2175" t="s">
        <v>98</v>
      </c>
      <c r="D2175" s="8">
        <v>101.69</v>
      </c>
    </row>
    <row r="2176" spans="1:4" x14ac:dyDescent="0.45">
      <c r="A2176" s="7">
        <v>45739</v>
      </c>
      <c r="B2176" t="s">
        <v>95</v>
      </c>
      <c r="C2176" t="s">
        <v>109</v>
      </c>
      <c r="D2176" s="8">
        <v>31.21</v>
      </c>
    </row>
    <row r="2177" spans="1:4" x14ac:dyDescent="0.45">
      <c r="A2177" s="7">
        <v>45400</v>
      </c>
      <c r="B2177" t="s">
        <v>97</v>
      </c>
      <c r="C2177" t="s">
        <v>98</v>
      </c>
      <c r="D2177" s="8">
        <v>137.43</v>
      </c>
    </row>
    <row r="2178" spans="1:4" x14ac:dyDescent="0.45">
      <c r="A2178" s="7">
        <v>45951</v>
      </c>
      <c r="B2178" t="s">
        <v>93</v>
      </c>
      <c r="C2178" t="s">
        <v>100</v>
      </c>
      <c r="D2178" s="8">
        <v>453.7</v>
      </c>
    </row>
    <row r="2179" spans="1:4" x14ac:dyDescent="0.45">
      <c r="A2179" s="7">
        <v>45787</v>
      </c>
      <c r="B2179" t="s">
        <v>93</v>
      </c>
      <c r="C2179" t="s">
        <v>106</v>
      </c>
      <c r="D2179" s="8">
        <v>149.32</v>
      </c>
    </row>
    <row r="2180" spans="1:4" x14ac:dyDescent="0.45">
      <c r="A2180" s="7">
        <v>45719</v>
      </c>
      <c r="B2180" t="s">
        <v>95</v>
      </c>
      <c r="C2180" t="s">
        <v>109</v>
      </c>
      <c r="D2180" s="8">
        <v>-113.13</v>
      </c>
    </row>
    <row r="2181" spans="1:4" x14ac:dyDescent="0.45">
      <c r="A2181" s="7">
        <v>45608</v>
      </c>
      <c r="B2181" t="s">
        <v>93</v>
      </c>
      <c r="C2181" t="s">
        <v>100</v>
      </c>
      <c r="D2181" s="8">
        <v>460.65</v>
      </c>
    </row>
    <row r="2182" spans="1:4" x14ac:dyDescent="0.45">
      <c r="A2182" s="7">
        <v>45624</v>
      </c>
      <c r="B2182" t="s">
        <v>93</v>
      </c>
      <c r="C2182" t="s">
        <v>94</v>
      </c>
      <c r="D2182" s="8">
        <v>90.68</v>
      </c>
    </row>
    <row r="2183" spans="1:4" x14ac:dyDescent="0.45">
      <c r="A2183" s="7">
        <v>45551</v>
      </c>
      <c r="B2183" t="s">
        <v>97</v>
      </c>
      <c r="C2183" t="s">
        <v>107</v>
      </c>
      <c r="D2183" s="8">
        <v>333.68</v>
      </c>
    </row>
    <row r="2184" spans="1:4" x14ac:dyDescent="0.45">
      <c r="A2184" s="7">
        <v>45691</v>
      </c>
      <c r="B2184" t="s">
        <v>93</v>
      </c>
      <c r="C2184" t="s">
        <v>94</v>
      </c>
      <c r="D2184" s="8">
        <v>382.37</v>
      </c>
    </row>
    <row r="2185" spans="1:4" x14ac:dyDescent="0.45">
      <c r="A2185" s="7">
        <v>46053</v>
      </c>
      <c r="B2185" t="s">
        <v>97</v>
      </c>
      <c r="C2185" t="s">
        <v>98</v>
      </c>
      <c r="D2185" s="8">
        <v>197.37</v>
      </c>
    </row>
    <row r="2186" spans="1:4" x14ac:dyDescent="0.45">
      <c r="A2186" s="7">
        <v>45295</v>
      </c>
      <c r="B2186" t="s">
        <v>97</v>
      </c>
      <c r="C2186" t="s">
        <v>101</v>
      </c>
      <c r="D2186" s="8">
        <v>472.23</v>
      </c>
    </row>
    <row r="2187" spans="1:4" x14ac:dyDescent="0.45">
      <c r="A2187" s="7">
        <v>45776</v>
      </c>
      <c r="B2187" t="s">
        <v>95</v>
      </c>
      <c r="C2187" t="s">
        <v>105</v>
      </c>
      <c r="D2187" s="8">
        <v>293.36</v>
      </c>
    </row>
    <row r="2188" spans="1:4" x14ac:dyDescent="0.45">
      <c r="A2188" s="7">
        <v>46158</v>
      </c>
      <c r="B2188" t="s">
        <v>93</v>
      </c>
      <c r="C2188" t="s">
        <v>94</v>
      </c>
      <c r="D2188" s="8">
        <v>120.5</v>
      </c>
    </row>
    <row r="2189" spans="1:4" x14ac:dyDescent="0.45">
      <c r="A2189" s="7">
        <v>45799</v>
      </c>
      <c r="B2189" t="s">
        <v>97</v>
      </c>
      <c r="C2189" t="s">
        <v>101</v>
      </c>
      <c r="D2189" s="8">
        <v>150.62</v>
      </c>
    </row>
    <row r="2190" spans="1:4" x14ac:dyDescent="0.45">
      <c r="A2190" s="7">
        <v>45593</v>
      </c>
      <c r="B2190" t="s">
        <v>95</v>
      </c>
      <c r="C2190" t="s">
        <v>99</v>
      </c>
      <c r="D2190" s="8">
        <v>454.68</v>
      </c>
    </row>
    <row r="2191" spans="1:4" x14ac:dyDescent="0.45">
      <c r="A2191" s="7">
        <v>45355</v>
      </c>
      <c r="B2191" t="s">
        <v>95</v>
      </c>
      <c r="C2191" t="s">
        <v>99</v>
      </c>
      <c r="D2191" s="8">
        <v>-121.96</v>
      </c>
    </row>
    <row r="2192" spans="1:4" x14ac:dyDescent="0.45">
      <c r="A2192" s="7">
        <v>45499</v>
      </c>
      <c r="B2192" t="s">
        <v>97</v>
      </c>
      <c r="C2192" t="s">
        <v>107</v>
      </c>
      <c r="D2192" s="8">
        <v>387.7</v>
      </c>
    </row>
    <row r="2193" spans="1:4" x14ac:dyDescent="0.45">
      <c r="A2193" s="7">
        <v>45857</v>
      </c>
      <c r="B2193" t="s">
        <v>95</v>
      </c>
      <c r="C2193" t="s">
        <v>96</v>
      </c>
      <c r="D2193" s="8">
        <v>459.54</v>
      </c>
    </row>
    <row r="2194" spans="1:4" x14ac:dyDescent="0.45">
      <c r="A2194" s="7">
        <v>46191</v>
      </c>
      <c r="B2194" t="s">
        <v>95</v>
      </c>
      <c r="C2194" t="s">
        <v>102</v>
      </c>
      <c r="D2194" s="8">
        <v>-33.799999999999997</v>
      </c>
    </row>
    <row r="2195" spans="1:4" x14ac:dyDescent="0.45">
      <c r="A2195" s="7">
        <v>45362</v>
      </c>
      <c r="B2195" t="s">
        <v>97</v>
      </c>
      <c r="C2195" t="s">
        <v>104</v>
      </c>
      <c r="D2195" s="8">
        <v>-94.54</v>
      </c>
    </row>
    <row r="2196" spans="1:4" x14ac:dyDescent="0.45">
      <c r="A2196" s="7">
        <v>46175</v>
      </c>
      <c r="B2196" t="s">
        <v>93</v>
      </c>
      <c r="C2196" t="s">
        <v>103</v>
      </c>
      <c r="D2196" s="8">
        <v>-92.74</v>
      </c>
    </row>
    <row r="2197" spans="1:4" x14ac:dyDescent="0.45">
      <c r="A2197" s="7">
        <v>45538</v>
      </c>
      <c r="B2197" t="s">
        <v>97</v>
      </c>
      <c r="C2197" t="s">
        <v>101</v>
      </c>
      <c r="D2197" s="8">
        <v>184.18</v>
      </c>
    </row>
    <row r="2198" spans="1:4" x14ac:dyDescent="0.45">
      <c r="A2198" s="7">
        <v>46148</v>
      </c>
      <c r="B2198" t="s">
        <v>97</v>
      </c>
      <c r="C2198" t="s">
        <v>101</v>
      </c>
      <c r="D2198" s="8">
        <v>-130.86000000000001</v>
      </c>
    </row>
    <row r="2199" spans="1:4" x14ac:dyDescent="0.45">
      <c r="A2199" s="7">
        <v>45761</v>
      </c>
      <c r="B2199" t="s">
        <v>93</v>
      </c>
      <c r="C2199" t="s">
        <v>94</v>
      </c>
      <c r="D2199" s="8">
        <v>190.32</v>
      </c>
    </row>
    <row r="2200" spans="1:4" x14ac:dyDescent="0.45">
      <c r="A2200" s="7">
        <v>45892</v>
      </c>
      <c r="B2200" t="s">
        <v>95</v>
      </c>
      <c r="C2200" t="s">
        <v>99</v>
      </c>
      <c r="D2200" s="8">
        <v>117.72</v>
      </c>
    </row>
    <row r="2201" spans="1:4" x14ac:dyDescent="0.45">
      <c r="A2201" s="7">
        <v>45691</v>
      </c>
      <c r="B2201" t="s">
        <v>95</v>
      </c>
      <c r="C2201" t="s">
        <v>108</v>
      </c>
      <c r="D2201" s="8">
        <v>48.17</v>
      </c>
    </row>
    <row r="2202" spans="1:4" x14ac:dyDescent="0.45">
      <c r="A2202" s="7">
        <v>45743</v>
      </c>
      <c r="B2202" t="s">
        <v>97</v>
      </c>
      <c r="C2202" t="s">
        <v>98</v>
      </c>
      <c r="D2202" s="8">
        <v>374.41</v>
      </c>
    </row>
    <row r="2203" spans="1:4" x14ac:dyDescent="0.45">
      <c r="A2203" s="7">
        <v>45420</v>
      </c>
      <c r="B2203" t="s">
        <v>97</v>
      </c>
      <c r="C2203" t="s">
        <v>104</v>
      </c>
      <c r="D2203" s="8">
        <v>96.16</v>
      </c>
    </row>
    <row r="2204" spans="1:4" x14ac:dyDescent="0.45">
      <c r="A2204" s="7">
        <v>45329</v>
      </c>
      <c r="B2204" t="s">
        <v>97</v>
      </c>
      <c r="C2204" t="s">
        <v>104</v>
      </c>
      <c r="D2204" s="8">
        <v>262.75</v>
      </c>
    </row>
    <row r="2205" spans="1:4" x14ac:dyDescent="0.45">
      <c r="A2205" s="7">
        <v>45744</v>
      </c>
      <c r="B2205" t="s">
        <v>95</v>
      </c>
      <c r="C2205" t="s">
        <v>99</v>
      </c>
      <c r="D2205" s="8">
        <v>163.97</v>
      </c>
    </row>
    <row r="2206" spans="1:4" x14ac:dyDescent="0.45">
      <c r="A2206" s="7">
        <v>45512</v>
      </c>
      <c r="B2206" t="s">
        <v>95</v>
      </c>
      <c r="C2206" t="s">
        <v>109</v>
      </c>
      <c r="D2206" s="8">
        <v>-97.02</v>
      </c>
    </row>
    <row r="2207" spans="1:4" x14ac:dyDescent="0.45">
      <c r="A2207" s="7">
        <v>45302</v>
      </c>
      <c r="B2207" t="s">
        <v>97</v>
      </c>
      <c r="C2207" t="s">
        <v>104</v>
      </c>
      <c r="D2207" s="8">
        <v>395.82</v>
      </c>
    </row>
    <row r="2208" spans="1:4" x14ac:dyDescent="0.45">
      <c r="A2208" s="7">
        <v>45467</v>
      </c>
      <c r="B2208" t="s">
        <v>95</v>
      </c>
      <c r="C2208" t="s">
        <v>96</v>
      </c>
      <c r="D2208" s="8">
        <v>277.02999999999997</v>
      </c>
    </row>
    <row r="2209" spans="1:4" x14ac:dyDescent="0.45">
      <c r="A2209" s="7">
        <v>45922</v>
      </c>
      <c r="B2209" t="s">
        <v>93</v>
      </c>
      <c r="C2209" t="s">
        <v>103</v>
      </c>
      <c r="D2209" s="8">
        <v>174.5</v>
      </c>
    </row>
    <row r="2210" spans="1:4" x14ac:dyDescent="0.45">
      <c r="A2210" s="7">
        <v>45504</v>
      </c>
      <c r="B2210" t="s">
        <v>97</v>
      </c>
      <c r="C2210" t="s">
        <v>98</v>
      </c>
      <c r="D2210" s="8">
        <v>442.8</v>
      </c>
    </row>
    <row r="2211" spans="1:4" x14ac:dyDescent="0.45">
      <c r="A2211" s="7">
        <v>45431</v>
      </c>
      <c r="B2211" t="s">
        <v>93</v>
      </c>
      <c r="C2211" t="s">
        <v>94</v>
      </c>
      <c r="D2211" s="8">
        <v>179.78</v>
      </c>
    </row>
    <row r="2212" spans="1:4" x14ac:dyDescent="0.45">
      <c r="A2212" s="7">
        <v>45484</v>
      </c>
      <c r="B2212" t="s">
        <v>95</v>
      </c>
      <c r="C2212" t="s">
        <v>108</v>
      </c>
      <c r="D2212" s="8">
        <v>426.82</v>
      </c>
    </row>
    <row r="2213" spans="1:4" x14ac:dyDescent="0.45">
      <c r="A2213" s="7">
        <v>45813</v>
      </c>
      <c r="B2213" t="s">
        <v>95</v>
      </c>
      <c r="C2213" t="s">
        <v>99</v>
      </c>
      <c r="D2213" s="8">
        <v>308.27999999999997</v>
      </c>
    </row>
    <row r="2214" spans="1:4" x14ac:dyDescent="0.45">
      <c r="A2214" s="7">
        <v>45648</v>
      </c>
      <c r="B2214" t="s">
        <v>97</v>
      </c>
      <c r="C2214" t="s">
        <v>104</v>
      </c>
      <c r="D2214" s="8">
        <v>70.31</v>
      </c>
    </row>
    <row r="2215" spans="1:4" x14ac:dyDescent="0.45">
      <c r="A2215" s="7">
        <v>45739</v>
      </c>
      <c r="B2215" t="s">
        <v>97</v>
      </c>
      <c r="C2215" t="s">
        <v>107</v>
      </c>
      <c r="D2215" s="8">
        <v>-108.25</v>
      </c>
    </row>
    <row r="2216" spans="1:4" x14ac:dyDescent="0.45">
      <c r="A2216" s="7">
        <v>46122</v>
      </c>
      <c r="B2216" t="s">
        <v>95</v>
      </c>
      <c r="C2216" t="s">
        <v>99</v>
      </c>
      <c r="D2216" s="8">
        <v>83.49</v>
      </c>
    </row>
    <row r="2217" spans="1:4" x14ac:dyDescent="0.45">
      <c r="A2217" s="7">
        <v>45993</v>
      </c>
      <c r="B2217" t="s">
        <v>97</v>
      </c>
      <c r="C2217" t="s">
        <v>104</v>
      </c>
      <c r="D2217" s="8">
        <v>367.73</v>
      </c>
    </row>
    <row r="2218" spans="1:4" x14ac:dyDescent="0.45">
      <c r="A2218" s="7">
        <v>46160</v>
      </c>
      <c r="B2218" t="s">
        <v>97</v>
      </c>
      <c r="C2218" t="s">
        <v>98</v>
      </c>
      <c r="D2218" s="8">
        <v>472.48</v>
      </c>
    </row>
    <row r="2219" spans="1:4" x14ac:dyDescent="0.45">
      <c r="A2219" s="7">
        <v>45601</v>
      </c>
      <c r="B2219" t="s">
        <v>95</v>
      </c>
      <c r="C2219" t="s">
        <v>102</v>
      </c>
      <c r="D2219" s="8">
        <v>442.74</v>
      </c>
    </row>
    <row r="2220" spans="1:4" x14ac:dyDescent="0.45">
      <c r="A2220" s="7">
        <v>46075</v>
      </c>
      <c r="B2220" t="s">
        <v>95</v>
      </c>
      <c r="C2220" t="s">
        <v>105</v>
      </c>
      <c r="D2220" s="8">
        <v>-136.77000000000001</v>
      </c>
    </row>
    <row r="2221" spans="1:4" x14ac:dyDescent="0.45">
      <c r="A2221" s="7">
        <v>46184</v>
      </c>
      <c r="B2221" t="s">
        <v>93</v>
      </c>
      <c r="C2221" t="s">
        <v>103</v>
      </c>
      <c r="D2221" s="8">
        <v>90.26</v>
      </c>
    </row>
    <row r="2222" spans="1:4" x14ac:dyDescent="0.45">
      <c r="A2222" s="7">
        <v>45713</v>
      </c>
      <c r="B2222" t="s">
        <v>93</v>
      </c>
      <c r="C2222" t="s">
        <v>103</v>
      </c>
      <c r="D2222" s="8">
        <v>417.56</v>
      </c>
    </row>
    <row r="2223" spans="1:4" x14ac:dyDescent="0.45">
      <c r="A2223" s="7">
        <v>46105</v>
      </c>
      <c r="B2223" t="s">
        <v>95</v>
      </c>
      <c r="C2223" t="s">
        <v>99</v>
      </c>
      <c r="D2223" s="8">
        <v>170.34</v>
      </c>
    </row>
    <row r="2224" spans="1:4" x14ac:dyDescent="0.45">
      <c r="A2224" s="7">
        <v>46174</v>
      </c>
      <c r="B2224" t="s">
        <v>95</v>
      </c>
      <c r="C2224" t="s">
        <v>102</v>
      </c>
      <c r="D2224" s="8">
        <v>366.96</v>
      </c>
    </row>
    <row r="2225" spans="1:4" x14ac:dyDescent="0.45">
      <c r="A2225" s="7">
        <v>45776</v>
      </c>
      <c r="B2225" t="s">
        <v>95</v>
      </c>
      <c r="C2225" t="s">
        <v>105</v>
      </c>
      <c r="D2225" s="8">
        <v>176.48</v>
      </c>
    </row>
    <row r="2226" spans="1:4" x14ac:dyDescent="0.45">
      <c r="A2226" s="7">
        <v>45435</v>
      </c>
      <c r="B2226" t="s">
        <v>97</v>
      </c>
      <c r="C2226" t="s">
        <v>101</v>
      </c>
      <c r="D2226" s="8">
        <v>-92.56</v>
      </c>
    </row>
    <row r="2227" spans="1:4" x14ac:dyDescent="0.45">
      <c r="A2227" s="7">
        <v>45526</v>
      </c>
      <c r="B2227" t="s">
        <v>97</v>
      </c>
      <c r="C2227" t="s">
        <v>101</v>
      </c>
      <c r="D2227" s="8">
        <v>134.07</v>
      </c>
    </row>
    <row r="2228" spans="1:4" x14ac:dyDescent="0.45">
      <c r="A2228" s="7">
        <v>45684</v>
      </c>
      <c r="B2228" t="s">
        <v>97</v>
      </c>
      <c r="C2228" t="s">
        <v>104</v>
      </c>
      <c r="D2228" s="8">
        <v>488.25</v>
      </c>
    </row>
    <row r="2229" spans="1:4" x14ac:dyDescent="0.45">
      <c r="A2229" s="7">
        <v>45455</v>
      </c>
      <c r="B2229" t="s">
        <v>93</v>
      </c>
      <c r="C2229" t="s">
        <v>103</v>
      </c>
      <c r="D2229" s="8">
        <v>156.46</v>
      </c>
    </row>
    <row r="2230" spans="1:4" x14ac:dyDescent="0.45">
      <c r="A2230" s="7">
        <v>45294</v>
      </c>
      <c r="B2230" t="s">
        <v>97</v>
      </c>
      <c r="C2230" t="s">
        <v>107</v>
      </c>
      <c r="D2230" s="8">
        <v>336.58</v>
      </c>
    </row>
    <row r="2231" spans="1:4" x14ac:dyDescent="0.45">
      <c r="A2231" s="7">
        <v>45960</v>
      </c>
      <c r="B2231" t="s">
        <v>93</v>
      </c>
      <c r="C2231" t="s">
        <v>100</v>
      </c>
      <c r="D2231" s="8">
        <v>337.94</v>
      </c>
    </row>
    <row r="2232" spans="1:4" x14ac:dyDescent="0.45">
      <c r="A2232" s="7">
        <v>45478</v>
      </c>
      <c r="B2232" t="s">
        <v>97</v>
      </c>
      <c r="C2232" t="s">
        <v>98</v>
      </c>
      <c r="D2232" s="8">
        <v>84.79</v>
      </c>
    </row>
    <row r="2233" spans="1:4" x14ac:dyDescent="0.45">
      <c r="A2233" s="7">
        <v>45999</v>
      </c>
      <c r="B2233" t="s">
        <v>95</v>
      </c>
      <c r="C2233" t="s">
        <v>102</v>
      </c>
      <c r="D2233" s="8">
        <v>343.93</v>
      </c>
    </row>
    <row r="2234" spans="1:4" x14ac:dyDescent="0.45">
      <c r="A2234" s="7">
        <v>46071</v>
      </c>
      <c r="B2234" t="s">
        <v>93</v>
      </c>
      <c r="C2234" t="s">
        <v>103</v>
      </c>
      <c r="D2234" s="8">
        <v>119.57</v>
      </c>
    </row>
    <row r="2235" spans="1:4" x14ac:dyDescent="0.45">
      <c r="A2235" s="7">
        <v>45715</v>
      </c>
      <c r="B2235" t="s">
        <v>93</v>
      </c>
      <c r="C2235" t="s">
        <v>103</v>
      </c>
      <c r="D2235" s="8">
        <v>121.17</v>
      </c>
    </row>
    <row r="2236" spans="1:4" x14ac:dyDescent="0.45">
      <c r="A2236" s="7">
        <v>45794</v>
      </c>
      <c r="B2236" t="s">
        <v>95</v>
      </c>
      <c r="C2236" t="s">
        <v>96</v>
      </c>
      <c r="D2236" s="8">
        <v>135.66</v>
      </c>
    </row>
    <row r="2237" spans="1:4" x14ac:dyDescent="0.45">
      <c r="A2237" s="7">
        <v>45631</v>
      </c>
      <c r="B2237" t="s">
        <v>97</v>
      </c>
      <c r="C2237" t="s">
        <v>98</v>
      </c>
      <c r="D2237" s="8">
        <v>-126.3</v>
      </c>
    </row>
    <row r="2238" spans="1:4" x14ac:dyDescent="0.45">
      <c r="A2238" s="7">
        <v>45862</v>
      </c>
      <c r="B2238" t="s">
        <v>93</v>
      </c>
      <c r="C2238" t="s">
        <v>106</v>
      </c>
      <c r="D2238" s="8">
        <v>411.22</v>
      </c>
    </row>
    <row r="2239" spans="1:4" x14ac:dyDescent="0.45">
      <c r="A2239" s="7">
        <v>45582</v>
      </c>
      <c r="B2239" t="s">
        <v>97</v>
      </c>
      <c r="C2239" t="s">
        <v>101</v>
      </c>
      <c r="D2239" s="8">
        <v>122.87</v>
      </c>
    </row>
    <row r="2240" spans="1:4" x14ac:dyDescent="0.45">
      <c r="A2240" s="7">
        <v>45375</v>
      </c>
      <c r="B2240" t="s">
        <v>97</v>
      </c>
      <c r="C2240" t="s">
        <v>104</v>
      </c>
      <c r="D2240" s="8">
        <v>198.12</v>
      </c>
    </row>
    <row r="2241" spans="1:4" x14ac:dyDescent="0.45">
      <c r="A2241" s="7">
        <v>45374</v>
      </c>
      <c r="B2241" t="s">
        <v>97</v>
      </c>
      <c r="C2241" t="s">
        <v>107</v>
      </c>
      <c r="D2241" s="8">
        <v>343.39</v>
      </c>
    </row>
    <row r="2242" spans="1:4" x14ac:dyDescent="0.45">
      <c r="A2242" s="7">
        <v>45466</v>
      </c>
      <c r="B2242" t="s">
        <v>93</v>
      </c>
      <c r="C2242" t="s">
        <v>103</v>
      </c>
      <c r="D2242" s="8">
        <v>-31.98</v>
      </c>
    </row>
    <row r="2243" spans="1:4" x14ac:dyDescent="0.45">
      <c r="A2243" s="7">
        <v>45596</v>
      </c>
      <c r="B2243" t="s">
        <v>97</v>
      </c>
      <c r="C2243" t="s">
        <v>104</v>
      </c>
      <c r="D2243" s="8">
        <v>-88.43</v>
      </c>
    </row>
    <row r="2244" spans="1:4" x14ac:dyDescent="0.45">
      <c r="A2244" s="7">
        <v>45471</v>
      </c>
      <c r="B2244" t="s">
        <v>93</v>
      </c>
      <c r="C2244" t="s">
        <v>103</v>
      </c>
      <c r="D2244" s="8">
        <v>218.66</v>
      </c>
    </row>
    <row r="2245" spans="1:4" x14ac:dyDescent="0.45">
      <c r="A2245" s="7">
        <v>46095</v>
      </c>
      <c r="B2245" t="s">
        <v>97</v>
      </c>
      <c r="C2245" t="s">
        <v>104</v>
      </c>
      <c r="D2245" s="8">
        <v>5.45</v>
      </c>
    </row>
    <row r="2246" spans="1:4" x14ac:dyDescent="0.45">
      <c r="A2246" s="7">
        <v>45893</v>
      </c>
      <c r="B2246" t="s">
        <v>93</v>
      </c>
      <c r="C2246" t="s">
        <v>103</v>
      </c>
      <c r="D2246" s="8">
        <v>496.47</v>
      </c>
    </row>
    <row r="2247" spans="1:4" x14ac:dyDescent="0.45">
      <c r="A2247" s="7">
        <v>45754</v>
      </c>
      <c r="B2247" t="s">
        <v>93</v>
      </c>
      <c r="C2247" t="s">
        <v>106</v>
      </c>
      <c r="D2247" s="8">
        <v>158.04</v>
      </c>
    </row>
    <row r="2248" spans="1:4" x14ac:dyDescent="0.45">
      <c r="A2248" s="7">
        <v>45385</v>
      </c>
      <c r="B2248" t="s">
        <v>97</v>
      </c>
      <c r="C2248" t="s">
        <v>107</v>
      </c>
      <c r="D2248" s="8">
        <v>393.93</v>
      </c>
    </row>
    <row r="2249" spans="1:4" x14ac:dyDescent="0.45">
      <c r="A2249" s="7">
        <v>45570</v>
      </c>
      <c r="B2249" t="s">
        <v>93</v>
      </c>
      <c r="C2249" t="s">
        <v>103</v>
      </c>
      <c r="D2249" s="8">
        <v>178.91</v>
      </c>
    </row>
    <row r="2250" spans="1:4" x14ac:dyDescent="0.45">
      <c r="A2250" s="7">
        <v>45918</v>
      </c>
      <c r="B2250" t="s">
        <v>97</v>
      </c>
      <c r="C2250" t="s">
        <v>101</v>
      </c>
      <c r="D2250" s="8">
        <v>373.41</v>
      </c>
    </row>
    <row r="2251" spans="1:4" x14ac:dyDescent="0.45">
      <c r="A2251" s="7">
        <v>45413</v>
      </c>
      <c r="B2251" t="s">
        <v>97</v>
      </c>
      <c r="C2251" t="s">
        <v>107</v>
      </c>
      <c r="D2251" s="8">
        <v>268.83</v>
      </c>
    </row>
    <row r="2252" spans="1:4" x14ac:dyDescent="0.45">
      <c r="A2252" s="7">
        <v>45904</v>
      </c>
      <c r="B2252" t="s">
        <v>97</v>
      </c>
      <c r="C2252" t="s">
        <v>101</v>
      </c>
      <c r="D2252" s="8">
        <v>100.45</v>
      </c>
    </row>
    <row r="2253" spans="1:4" x14ac:dyDescent="0.45">
      <c r="A2253" s="7">
        <v>45488</v>
      </c>
      <c r="B2253" t="s">
        <v>95</v>
      </c>
      <c r="C2253" t="s">
        <v>105</v>
      </c>
      <c r="D2253" s="8">
        <v>-74.16</v>
      </c>
    </row>
    <row r="2254" spans="1:4" x14ac:dyDescent="0.45">
      <c r="A2254" s="7">
        <v>45471</v>
      </c>
      <c r="B2254" t="s">
        <v>95</v>
      </c>
      <c r="C2254" t="s">
        <v>109</v>
      </c>
      <c r="D2254" s="8">
        <v>-39.81</v>
      </c>
    </row>
    <row r="2255" spans="1:4" x14ac:dyDescent="0.45">
      <c r="A2255" s="7">
        <v>45961</v>
      </c>
      <c r="B2255" t="s">
        <v>93</v>
      </c>
      <c r="C2255" t="s">
        <v>100</v>
      </c>
      <c r="D2255" s="8">
        <v>345.04</v>
      </c>
    </row>
    <row r="2256" spans="1:4" x14ac:dyDescent="0.45">
      <c r="A2256" s="7">
        <v>45648</v>
      </c>
      <c r="B2256" t="s">
        <v>95</v>
      </c>
      <c r="C2256" t="s">
        <v>108</v>
      </c>
      <c r="D2256" s="8">
        <v>367.03</v>
      </c>
    </row>
    <row r="2257" spans="1:4" x14ac:dyDescent="0.45">
      <c r="A2257" s="7">
        <v>45755</v>
      </c>
      <c r="B2257" t="s">
        <v>97</v>
      </c>
      <c r="C2257" t="s">
        <v>98</v>
      </c>
      <c r="D2257" s="8">
        <v>406.04</v>
      </c>
    </row>
    <row r="2258" spans="1:4" x14ac:dyDescent="0.45">
      <c r="A2258" s="7">
        <v>45832</v>
      </c>
      <c r="B2258" t="s">
        <v>95</v>
      </c>
      <c r="C2258" t="s">
        <v>109</v>
      </c>
      <c r="D2258" s="8">
        <v>327.67</v>
      </c>
    </row>
    <row r="2259" spans="1:4" x14ac:dyDescent="0.45">
      <c r="A2259" s="7">
        <v>45732</v>
      </c>
      <c r="B2259" t="s">
        <v>93</v>
      </c>
      <c r="C2259" t="s">
        <v>103</v>
      </c>
      <c r="D2259" s="8">
        <v>3.92</v>
      </c>
    </row>
    <row r="2260" spans="1:4" x14ac:dyDescent="0.45">
      <c r="A2260" s="7">
        <v>46146</v>
      </c>
      <c r="B2260" t="s">
        <v>97</v>
      </c>
      <c r="C2260" t="s">
        <v>98</v>
      </c>
      <c r="D2260" s="8">
        <v>173.3</v>
      </c>
    </row>
    <row r="2261" spans="1:4" x14ac:dyDescent="0.45">
      <c r="A2261" s="7">
        <v>46170</v>
      </c>
      <c r="B2261" t="s">
        <v>97</v>
      </c>
      <c r="C2261" t="s">
        <v>98</v>
      </c>
      <c r="D2261" s="8">
        <v>113.94</v>
      </c>
    </row>
    <row r="2262" spans="1:4" x14ac:dyDescent="0.45">
      <c r="A2262" s="7">
        <v>45439</v>
      </c>
      <c r="B2262" t="s">
        <v>95</v>
      </c>
      <c r="C2262" t="s">
        <v>99</v>
      </c>
      <c r="D2262" s="8">
        <v>298.8</v>
      </c>
    </row>
    <row r="2263" spans="1:4" x14ac:dyDescent="0.45">
      <c r="A2263" s="7">
        <v>46071</v>
      </c>
      <c r="B2263" t="s">
        <v>97</v>
      </c>
      <c r="C2263" t="s">
        <v>104</v>
      </c>
      <c r="D2263" s="8">
        <v>396.54</v>
      </c>
    </row>
    <row r="2264" spans="1:4" x14ac:dyDescent="0.45">
      <c r="A2264" s="7">
        <v>45315</v>
      </c>
      <c r="B2264" t="s">
        <v>97</v>
      </c>
      <c r="C2264" t="s">
        <v>101</v>
      </c>
      <c r="D2264" s="8">
        <v>419.95</v>
      </c>
    </row>
    <row r="2265" spans="1:4" x14ac:dyDescent="0.45">
      <c r="A2265" s="7">
        <v>45741</v>
      </c>
      <c r="B2265" t="s">
        <v>95</v>
      </c>
      <c r="C2265" t="s">
        <v>96</v>
      </c>
      <c r="D2265" s="8">
        <v>45.54</v>
      </c>
    </row>
    <row r="2266" spans="1:4" x14ac:dyDescent="0.45">
      <c r="A2266" s="7">
        <v>45820</v>
      </c>
      <c r="B2266" t="s">
        <v>93</v>
      </c>
      <c r="C2266" t="s">
        <v>106</v>
      </c>
      <c r="D2266" s="8">
        <v>-70.06</v>
      </c>
    </row>
    <row r="2267" spans="1:4" x14ac:dyDescent="0.45">
      <c r="A2267" s="7">
        <v>45399</v>
      </c>
      <c r="B2267" t="s">
        <v>93</v>
      </c>
      <c r="C2267" t="s">
        <v>103</v>
      </c>
      <c r="D2267" s="8">
        <v>173.19</v>
      </c>
    </row>
    <row r="2268" spans="1:4" x14ac:dyDescent="0.45">
      <c r="A2268" s="7">
        <v>45414</v>
      </c>
      <c r="B2268" t="s">
        <v>97</v>
      </c>
      <c r="C2268" t="s">
        <v>98</v>
      </c>
      <c r="D2268" s="8">
        <v>362.6</v>
      </c>
    </row>
    <row r="2269" spans="1:4" x14ac:dyDescent="0.45">
      <c r="A2269" s="7">
        <v>45873</v>
      </c>
      <c r="B2269" t="s">
        <v>97</v>
      </c>
      <c r="C2269" t="s">
        <v>104</v>
      </c>
      <c r="D2269" s="8">
        <v>72.7</v>
      </c>
    </row>
    <row r="2270" spans="1:4" x14ac:dyDescent="0.45">
      <c r="A2270" s="7">
        <v>45924</v>
      </c>
      <c r="B2270" t="s">
        <v>95</v>
      </c>
      <c r="C2270" t="s">
        <v>102</v>
      </c>
      <c r="D2270" s="8">
        <v>126.49</v>
      </c>
    </row>
    <row r="2271" spans="1:4" x14ac:dyDescent="0.45">
      <c r="A2271" s="7">
        <v>45580</v>
      </c>
      <c r="B2271" t="s">
        <v>93</v>
      </c>
      <c r="C2271" t="s">
        <v>106</v>
      </c>
      <c r="D2271" s="8">
        <v>411</v>
      </c>
    </row>
    <row r="2272" spans="1:4" x14ac:dyDescent="0.45">
      <c r="A2272" s="7">
        <v>46089</v>
      </c>
      <c r="B2272" t="s">
        <v>93</v>
      </c>
      <c r="C2272" t="s">
        <v>100</v>
      </c>
      <c r="D2272" s="8">
        <v>-30.61</v>
      </c>
    </row>
    <row r="2273" spans="1:4" x14ac:dyDescent="0.45">
      <c r="A2273" s="7">
        <v>45428</v>
      </c>
      <c r="B2273" t="s">
        <v>95</v>
      </c>
      <c r="C2273" t="s">
        <v>108</v>
      </c>
      <c r="D2273" s="8">
        <v>85.03</v>
      </c>
    </row>
    <row r="2274" spans="1:4" x14ac:dyDescent="0.45">
      <c r="A2274" s="7">
        <v>45555</v>
      </c>
      <c r="B2274" t="s">
        <v>93</v>
      </c>
      <c r="C2274" t="s">
        <v>103</v>
      </c>
      <c r="D2274" s="8">
        <v>-17.8</v>
      </c>
    </row>
    <row r="2275" spans="1:4" x14ac:dyDescent="0.45">
      <c r="A2275" s="7">
        <v>45447</v>
      </c>
      <c r="B2275" t="s">
        <v>93</v>
      </c>
      <c r="C2275" t="s">
        <v>100</v>
      </c>
      <c r="D2275" s="8">
        <v>58.38</v>
      </c>
    </row>
    <row r="2276" spans="1:4" x14ac:dyDescent="0.45">
      <c r="A2276" s="7">
        <v>45491</v>
      </c>
      <c r="B2276" t="s">
        <v>95</v>
      </c>
      <c r="C2276" t="s">
        <v>105</v>
      </c>
      <c r="D2276" s="8">
        <v>349.43</v>
      </c>
    </row>
    <row r="2277" spans="1:4" x14ac:dyDescent="0.45">
      <c r="A2277" s="7">
        <v>45896</v>
      </c>
      <c r="B2277" t="s">
        <v>97</v>
      </c>
      <c r="C2277" t="s">
        <v>98</v>
      </c>
      <c r="D2277" s="8">
        <v>345.76</v>
      </c>
    </row>
    <row r="2278" spans="1:4" x14ac:dyDescent="0.45">
      <c r="A2278" s="7">
        <v>46134</v>
      </c>
      <c r="B2278" t="s">
        <v>93</v>
      </c>
      <c r="C2278" t="s">
        <v>103</v>
      </c>
      <c r="D2278" s="8">
        <v>78.36</v>
      </c>
    </row>
    <row r="2279" spans="1:4" x14ac:dyDescent="0.45">
      <c r="A2279" s="7">
        <v>45882</v>
      </c>
      <c r="B2279" t="s">
        <v>95</v>
      </c>
      <c r="C2279" t="s">
        <v>102</v>
      </c>
      <c r="D2279" s="8">
        <v>317.70999999999998</v>
      </c>
    </row>
    <row r="2280" spans="1:4" x14ac:dyDescent="0.45">
      <c r="A2280" s="7">
        <v>45373</v>
      </c>
      <c r="B2280" t="s">
        <v>93</v>
      </c>
      <c r="C2280" t="s">
        <v>103</v>
      </c>
      <c r="D2280" s="8">
        <v>176.69</v>
      </c>
    </row>
    <row r="2281" spans="1:4" x14ac:dyDescent="0.45">
      <c r="A2281" s="7">
        <v>45542</v>
      </c>
      <c r="B2281" t="s">
        <v>97</v>
      </c>
      <c r="C2281" t="s">
        <v>104</v>
      </c>
      <c r="D2281" s="8">
        <v>-48.93</v>
      </c>
    </row>
    <row r="2282" spans="1:4" x14ac:dyDescent="0.45">
      <c r="A2282" s="7">
        <v>45750</v>
      </c>
      <c r="B2282" t="s">
        <v>95</v>
      </c>
      <c r="C2282" t="s">
        <v>102</v>
      </c>
      <c r="D2282" s="8">
        <v>492.24</v>
      </c>
    </row>
    <row r="2283" spans="1:4" x14ac:dyDescent="0.45">
      <c r="A2283" s="7">
        <v>45897</v>
      </c>
      <c r="B2283" t="s">
        <v>95</v>
      </c>
      <c r="C2283" t="s">
        <v>105</v>
      </c>
      <c r="D2283" s="8">
        <v>176.68</v>
      </c>
    </row>
    <row r="2284" spans="1:4" x14ac:dyDescent="0.45">
      <c r="A2284" s="7">
        <v>45998</v>
      </c>
      <c r="B2284" t="s">
        <v>95</v>
      </c>
      <c r="C2284" t="s">
        <v>108</v>
      </c>
      <c r="D2284" s="8">
        <v>-7.39</v>
      </c>
    </row>
    <row r="2285" spans="1:4" x14ac:dyDescent="0.45">
      <c r="A2285" s="7">
        <v>45936</v>
      </c>
      <c r="B2285" t="s">
        <v>93</v>
      </c>
      <c r="C2285" t="s">
        <v>106</v>
      </c>
      <c r="D2285" s="8">
        <v>-10.76</v>
      </c>
    </row>
    <row r="2286" spans="1:4" x14ac:dyDescent="0.45">
      <c r="A2286" s="7">
        <v>45294</v>
      </c>
      <c r="B2286" t="s">
        <v>97</v>
      </c>
      <c r="C2286" t="s">
        <v>104</v>
      </c>
      <c r="D2286" s="8">
        <v>-107.14</v>
      </c>
    </row>
    <row r="2287" spans="1:4" x14ac:dyDescent="0.45">
      <c r="A2287" s="7">
        <v>46116</v>
      </c>
      <c r="B2287" t="s">
        <v>93</v>
      </c>
      <c r="C2287" t="s">
        <v>100</v>
      </c>
      <c r="D2287" s="8">
        <v>310.57</v>
      </c>
    </row>
    <row r="2288" spans="1:4" x14ac:dyDescent="0.45">
      <c r="A2288" s="7">
        <v>46109</v>
      </c>
      <c r="B2288" t="s">
        <v>93</v>
      </c>
      <c r="C2288" t="s">
        <v>100</v>
      </c>
      <c r="D2288" s="8">
        <v>64.819999999999993</v>
      </c>
    </row>
    <row r="2289" spans="1:4" x14ac:dyDescent="0.45">
      <c r="A2289" s="7">
        <v>45540</v>
      </c>
      <c r="B2289" t="s">
        <v>93</v>
      </c>
      <c r="C2289" t="s">
        <v>94</v>
      </c>
      <c r="D2289" s="8">
        <v>115.19</v>
      </c>
    </row>
    <row r="2290" spans="1:4" x14ac:dyDescent="0.45">
      <c r="A2290" s="7">
        <v>45952</v>
      </c>
      <c r="B2290" t="s">
        <v>93</v>
      </c>
      <c r="C2290" t="s">
        <v>94</v>
      </c>
      <c r="D2290" s="8">
        <v>366.99</v>
      </c>
    </row>
    <row r="2291" spans="1:4" x14ac:dyDescent="0.45">
      <c r="A2291" s="7">
        <v>45606</v>
      </c>
      <c r="B2291" t="s">
        <v>95</v>
      </c>
      <c r="C2291" t="s">
        <v>109</v>
      </c>
      <c r="D2291" s="8">
        <v>-140.68</v>
      </c>
    </row>
    <row r="2292" spans="1:4" x14ac:dyDescent="0.45">
      <c r="A2292" s="7">
        <v>46110</v>
      </c>
      <c r="B2292" t="s">
        <v>95</v>
      </c>
      <c r="C2292" t="s">
        <v>102</v>
      </c>
      <c r="D2292" s="8">
        <v>425.31</v>
      </c>
    </row>
    <row r="2293" spans="1:4" x14ac:dyDescent="0.45">
      <c r="A2293" s="7">
        <v>45689</v>
      </c>
      <c r="B2293" t="s">
        <v>93</v>
      </c>
      <c r="C2293" t="s">
        <v>94</v>
      </c>
      <c r="D2293" s="8">
        <v>15.51</v>
      </c>
    </row>
    <row r="2294" spans="1:4" x14ac:dyDescent="0.45">
      <c r="A2294" s="7">
        <v>45399</v>
      </c>
      <c r="B2294" t="s">
        <v>93</v>
      </c>
      <c r="C2294" t="s">
        <v>106</v>
      </c>
      <c r="D2294" s="8">
        <v>393.92</v>
      </c>
    </row>
    <row r="2295" spans="1:4" x14ac:dyDescent="0.45">
      <c r="A2295" s="7">
        <v>46179</v>
      </c>
      <c r="B2295" t="s">
        <v>95</v>
      </c>
      <c r="C2295" t="s">
        <v>109</v>
      </c>
      <c r="D2295" s="8">
        <v>413.07</v>
      </c>
    </row>
    <row r="2296" spans="1:4" x14ac:dyDescent="0.45">
      <c r="A2296" s="7">
        <v>45309</v>
      </c>
      <c r="B2296" t="s">
        <v>97</v>
      </c>
      <c r="C2296" t="s">
        <v>107</v>
      </c>
      <c r="D2296" s="8">
        <v>228.53</v>
      </c>
    </row>
    <row r="2297" spans="1:4" x14ac:dyDescent="0.45">
      <c r="A2297" s="7">
        <v>46082</v>
      </c>
      <c r="B2297" t="s">
        <v>93</v>
      </c>
      <c r="C2297" t="s">
        <v>100</v>
      </c>
      <c r="D2297" s="8">
        <v>-95.91</v>
      </c>
    </row>
    <row r="2298" spans="1:4" x14ac:dyDescent="0.45">
      <c r="A2298" s="7">
        <v>45933</v>
      </c>
      <c r="B2298" t="s">
        <v>93</v>
      </c>
      <c r="C2298" t="s">
        <v>103</v>
      </c>
      <c r="D2298" s="8">
        <v>-125.38</v>
      </c>
    </row>
    <row r="2299" spans="1:4" x14ac:dyDescent="0.45">
      <c r="A2299" s="7">
        <v>45455</v>
      </c>
      <c r="B2299" t="s">
        <v>95</v>
      </c>
      <c r="C2299" t="s">
        <v>102</v>
      </c>
      <c r="D2299" s="8">
        <v>321.43</v>
      </c>
    </row>
    <row r="2300" spans="1:4" x14ac:dyDescent="0.45">
      <c r="A2300" s="7">
        <v>45301</v>
      </c>
      <c r="B2300" t="s">
        <v>93</v>
      </c>
      <c r="C2300" t="s">
        <v>106</v>
      </c>
      <c r="D2300" s="8">
        <v>144.52000000000001</v>
      </c>
    </row>
    <row r="2301" spans="1:4" x14ac:dyDescent="0.45">
      <c r="A2301" s="7">
        <v>45583</v>
      </c>
      <c r="B2301" t="s">
        <v>93</v>
      </c>
      <c r="C2301" t="s">
        <v>103</v>
      </c>
      <c r="D2301" s="8">
        <v>334.01</v>
      </c>
    </row>
    <row r="2302" spans="1:4" x14ac:dyDescent="0.45">
      <c r="A2302" s="7">
        <v>45605</v>
      </c>
      <c r="B2302" t="s">
        <v>95</v>
      </c>
      <c r="C2302" t="s">
        <v>96</v>
      </c>
      <c r="D2302" s="8">
        <v>-43.27</v>
      </c>
    </row>
    <row r="2303" spans="1:4" x14ac:dyDescent="0.45">
      <c r="A2303" s="7">
        <v>45638</v>
      </c>
      <c r="B2303" t="s">
        <v>93</v>
      </c>
      <c r="C2303" t="s">
        <v>106</v>
      </c>
      <c r="D2303" s="8">
        <v>498.17</v>
      </c>
    </row>
    <row r="2304" spans="1:4" x14ac:dyDescent="0.45">
      <c r="A2304" s="7">
        <v>45466</v>
      </c>
      <c r="B2304" t="s">
        <v>97</v>
      </c>
      <c r="C2304" t="s">
        <v>107</v>
      </c>
      <c r="D2304" s="8">
        <v>315.56</v>
      </c>
    </row>
    <row r="2305" spans="1:4" x14ac:dyDescent="0.45">
      <c r="A2305" s="7">
        <v>45384</v>
      </c>
      <c r="B2305" t="s">
        <v>93</v>
      </c>
      <c r="C2305" t="s">
        <v>94</v>
      </c>
      <c r="D2305" s="8">
        <v>187.51</v>
      </c>
    </row>
    <row r="2306" spans="1:4" x14ac:dyDescent="0.45">
      <c r="A2306" s="7">
        <v>45513</v>
      </c>
      <c r="B2306" t="s">
        <v>97</v>
      </c>
      <c r="C2306" t="s">
        <v>107</v>
      </c>
      <c r="D2306" s="8">
        <v>75.59</v>
      </c>
    </row>
    <row r="2307" spans="1:4" x14ac:dyDescent="0.45">
      <c r="A2307" s="7">
        <v>45866</v>
      </c>
      <c r="B2307" t="s">
        <v>97</v>
      </c>
      <c r="C2307" t="s">
        <v>101</v>
      </c>
      <c r="D2307" s="8">
        <v>214.32</v>
      </c>
    </row>
    <row r="2308" spans="1:4" x14ac:dyDescent="0.45">
      <c r="A2308" s="7">
        <v>45866</v>
      </c>
      <c r="B2308" t="s">
        <v>97</v>
      </c>
      <c r="C2308" t="s">
        <v>98</v>
      </c>
      <c r="D2308" s="8">
        <v>-80.63</v>
      </c>
    </row>
    <row r="2309" spans="1:4" x14ac:dyDescent="0.45">
      <c r="A2309" s="7">
        <v>45298</v>
      </c>
      <c r="B2309" t="s">
        <v>95</v>
      </c>
      <c r="C2309" t="s">
        <v>96</v>
      </c>
      <c r="D2309" s="8">
        <v>14.51</v>
      </c>
    </row>
    <row r="2310" spans="1:4" x14ac:dyDescent="0.45">
      <c r="A2310" s="7">
        <v>45807</v>
      </c>
      <c r="B2310" t="s">
        <v>97</v>
      </c>
      <c r="C2310" t="s">
        <v>104</v>
      </c>
      <c r="D2310" s="8">
        <v>-77.989999999999995</v>
      </c>
    </row>
    <row r="2311" spans="1:4" x14ac:dyDescent="0.45">
      <c r="A2311" s="7">
        <v>45527</v>
      </c>
      <c r="B2311" t="s">
        <v>93</v>
      </c>
      <c r="C2311" t="s">
        <v>100</v>
      </c>
      <c r="D2311" s="8">
        <v>-144.55000000000001</v>
      </c>
    </row>
    <row r="2312" spans="1:4" x14ac:dyDescent="0.45">
      <c r="A2312" s="7">
        <v>45892</v>
      </c>
      <c r="B2312" t="s">
        <v>93</v>
      </c>
      <c r="C2312" t="s">
        <v>106</v>
      </c>
      <c r="D2312" s="8">
        <v>100.55</v>
      </c>
    </row>
    <row r="2313" spans="1:4" x14ac:dyDescent="0.45">
      <c r="A2313" s="7">
        <v>45806</v>
      </c>
      <c r="B2313" t="s">
        <v>93</v>
      </c>
      <c r="C2313" t="s">
        <v>106</v>
      </c>
      <c r="D2313" s="8">
        <v>107.31</v>
      </c>
    </row>
    <row r="2314" spans="1:4" x14ac:dyDescent="0.45">
      <c r="A2314" s="7">
        <v>45553</v>
      </c>
      <c r="B2314" t="s">
        <v>97</v>
      </c>
      <c r="C2314" t="s">
        <v>107</v>
      </c>
      <c r="D2314" s="8">
        <v>294.43</v>
      </c>
    </row>
    <row r="2315" spans="1:4" x14ac:dyDescent="0.45">
      <c r="A2315" s="7">
        <v>45554</v>
      </c>
      <c r="B2315" t="s">
        <v>93</v>
      </c>
      <c r="C2315" t="s">
        <v>94</v>
      </c>
      <c r="D2315" s="8">
        <v>461.79</v>
      </c>
    </row>
    <row r="2316" spans="1:4" x14ac:dyDescent="0.45">
      <c r="A2316" s="7">
        <v>46050</v>
      </c>
      <c r="B2316" t="s">
        <v>95</v>
      </c>
      <c r="C2316" t="s">
        <v>96</v>
      </c>
      <c r="D2316" s="8">
        <v>375.44</v>
      </c>
    </row>
    <row r="2317" spans="1:4" x14ac:dyDescent="0.45">
      <c r="A2317" s="7">
        <v>45322</v>
      </c>
      <c r="B2317" t="s">
        <v>97</v>
      </c>
      <c r="C2317" t="s">
        <v>101</v>
      </c>
      <c r="D2317" s="8">
        <v>-149.52000000000001</v>
      </c>
    </row>
    <row r="2318" spans="1:4" x14ac:dyDescent="0.45">
      <c r="A2318" s="7">
        <v>45468</v>
      </c>
      <c r="B2318" t="s">
        <v>93</v>
      </c>
      <c r="C2318" t="s">
        <v>94</v>
      </c>
      <c r="D2318" s="8">
        <v>-98.96</v>
      </c>
    </row>
    <row r="2319" spans="1:4" x14ac:dyDescent="0.45">
      <c r="A2319" s="7">
        <v>46066</v>
      </c>
      <c r="B2319" t="s">
        <v>97</v>
      </c>
      <c r="C2319" t="s">
        <v>104</v>
      </c>
      <c r="D2319" s="8">
        <v>308.08999999999997</v>
      </c>
    </row>
    <row r="2320" spans="1:4" x14ac:dyDescent="0.45">
      <c r="A2320" s="7">
        <v>45881</v>
      </c>
      <c r="B2320" t="s">
        <v>95</v>
      </c>
      <c r="C2320" t="s">
        <v>108</v>
      </c>
      <c r="D2320" s="8">
        <v>461.71</v>
      </c>
    </row>
    <row r="2321" spans="1:4" x14ac:dyDescent="0.45">
      <c r="A2321" s="7">
        <v>45827</v>
      </c>
      <c r="B2321" t="s">
        <v>93</v>
      </c>
      <c r="C2321" t="s">
        <v>106</v>
      </c>
      <c r="D2321" s="8">
        <v>271.92</v>
      </c>
    </row>
    <row r="2322" spans="1:4" x14ac:dyDescent="0.45">
      <c r="A2322" s="7">
        <v>45949</v>
      </c>
      <c r="B2322" t="s">
        <v>93</v>
      </c>
      <c r="C2322" t="s">
        <v>94</v>
      </c>
      <c r="D2322" s="8">
        <v>144</v>
      </c>
    </row>
    <row r="2323" spans="1:4" x14ac:dyDescent="0.45">
      <c r="A2323" s="7">
        <v>45924</v>
      </c>
      <c r="B2323" t="s">
        <v>97</v>
      </c>
      <c r="C2323" t="s">
        <v>98</v>
      </c>
      <c r="D2323" s="8">
        <v>103.03</v>
      </c>
    </row>
    <row r="2324" spans="1:4" x14ac:dyDescent="0.45">
      <c r="A2324" s="7">
        <v>45565</v>
      </c>
      <c r="B2324" t="s">
        <v>97</v>
      </c>
      <c r="C2324" t="s">
        <v>98</v>
      </c>
      <c r="D2324" s="8">
        <v>298.89999999999998</v>
      </c>
    </row>
    <row r="2325" spans="1:4" x14ac:dyDescent="0.45">
      <c r="A2325" s="7">
        <v>45476</v>
      </c>
      <c r="B2325" t="s">
        <v>97</v>
      </c>
      <c r="C2325" t="s">
        <v>104</v>
      </c>
      <c r="D2325" s="8">
        <v>-17.75</v>
      </c>
    </row>
    <row r="2326" spans="1:4" x14ac:dyDescent="0.45">
      <c r="A2326" s="7">
        <v>45812</v>
      </c>
      <c r="B2326" t="s">
        <v>97</v>
      </c>
      <c r="C2326" t="s">
        <v>104</v>
      </c>
      <c r="D2326" s="8">
        <v>309.3</v>
      </c>
    </row>
    <row r="2327" spans="1:4" x14ac:dyDescent="0.45">
      <c r="A2327" s="7">
        <v>45308</v>
      </c>
      <c r="B2327" t="s">
        <v>95</v>
      </c>
      <c r="C2327" t="s">
        <v>108</v>
      </c>
      <c r="D2327" s="8">
        <v>181.82</v>
      </c>
    </row>
    <row r="2328" spans="1:4" x14ac:dyDescent="0.45">
      <c r="A2328" s="7">
        <v>45679</v>
      </c>
      <c r="B2328" t="s">
        <v>97</v>
      </c>
      <c r="C2328" t="s">
        <v>104</v>
      </c>
      <c r="D2328" s="8">
        <v>262.87</v>
      </c>
    </row>
    <row r="2329" spans="1:4" x14ac:dyDescent="0.45">
      <c r="A2329" s="7">
        <v>46076</v>
      </c>
      <c r="B2329" t="s">
        <v>95</v>
      </c>
      <c r="C2329" t="s">
        <v>105</v>
      </c>
      <c r="D2329" s="8">
        <v>-84.67</v>
      </c>
    </row>
    <row r="2330" spans="1:4" x14ac:dyDescent="0.45">
      <c r="A2330" s="7">
        <v>45970</v>
      </c>
      <c r="B2330" t="s">
        <v>97</v>
      </c>
      <c r="C2330" t="s">
        <v>107</v>
      </c>
      <c r="D2330" s="8">
        <v>-66.180000000000007</v>
      </c>
    </row>
    <row r="2331" spans="1:4" x14ac:dyDescent="0.45">
      <c r="A2331" s="7">
        <v>45493</v>
      </c>
      <c r="B2331" t="s">
        <v>95</v>
      </c>
      <c r="C2331" t="s">
        <v>108</v>
      </c>
      <c r="D2331" s="8">
        <v>307.06</v>
      </c>
    </row>
    <row r="2332" spans="1:4" x14ac:dyDescent="0.45">
      <c r="A2332" s="7">
        <v>46014</v>
      </c>
      <c r="B2332" t="s">
        <v>95</v>
      </c>
      <c r="C2332" t="s">
        <v>102</v>
      </c>
      <c r="D2332" s="8">
        <v>301.93</v>
      </c>
    </row>
    <row r="2333" spans="1:4" x14ac:dyDescent="0.45">
      <c r="A2333" s="7">
        <v>45507</v>
      </c>
      <c r="B2333" t="s">
        <v>95</v>
      </c>
      <c r="C2333" t="s">
        <v>108</v>
      </c>
      <c r="D2333" s="8">
        <v>419.41</v>
      </c>
    </row>
    <row r="2334" spans="1:4" x14ac:dyDescent="0.45">
      <c r="A2334" s="7">
        <v>45558</v>
      </c>
      <c r="B2334" t="s">
        <v>97</v>
      </c>
      <c r="C2334" t="s">
        <v>98</v>
      </c>
      <c r="D2334" s="8">
        <v>141.68</v>
      </c>
    </row>
    <row r="2335" spans="1:4" x14ac:dyDescent="0.45">
      <c r="A2335" s="7">
        <v>45568</v>
      </c>
      <c r="B2335" t="s">
        <v>97</v>
      </c>
      <c r="C2335" t="s">
        <v>104</v>
      </c>
      <c r="D2335" s="8">
        <v>297.13</v>
      </c>
    </row>
    <row r="2336" spans="1:4" x14ac:dyDescent="0.45">
      <c r="A2336" s="7">
        <v>45760</v>
      </c>
      <c r="B2336" t="s">
        <v>93</v>
      </c>
      <c r="C2336" t="s">
        <v>94</v>
      </c>
      <c r="D2336" s="8">
        <v>156.11000000000001</v>
      </c>
    </row>
    <row r="2337" spans="1:4" x14ac:dyDescent="0.45">
      <c r="A2337" s="7">
        <v>45302</v>
      </c>
      <c r="B2337" t="s">
        <v>95</v>
      </c>
      <c r="C2337" t="s">
        <v>99</v>
      </c>
      <c r="D2337" s="8">
        <v>309.77999999999997</v>
      </c>
    </row>
    <row r="2338" spans="1:4" x14ac:dyDescent="0.45">
      <c r="A2338" s="7">
        <v>46121</v>
      </c>
      <c r="B2338" t="s">
        <v>93</v>
      </c>
      <c r="C2338" t="s">
        <v>94</v>
      </c>
      <c r="D2338" s="8">
        <v>303.83</v>
      </c>
    </row>
    <row r="2339" spans="1:4" x14ac:dyDescent="0.45">
      <c r="A2339" s="7">
        <v>45788</v>
      </c>
      <c r="B2339" t="s">
        <v>97</v>
      </c>
      <c r="C2339" t="s">
        <v>101</v>
      </c>
      <c r="D2339" s="8">
        <v>374.62</v>
      </c>
    </row>
    <row r="2340" spans="1:4" x14ac:dyDescent="0.45">
      <c r="A2340" s="7">
        <v>45815</v>
      </c>
      <c r="B2340" t="s">
        <v>95</v>
      </c>
      <c r="C2340" t="s">
        <v>105</v>
      </c>
      <c r="D2340" s="8">
        <v>139.72</v>
      </c>
    </row>
    <row r="2341" spans="1:4" x14ac:dyDescent="0.45">
      <c r="A2341" s="7">
        <v>45439</v>
      </c>
      <c r="B2341" t="s">
        <v>97</v>
      </c>
      <c r="C2341" t="s">
        <v>107</v>
      </c>
      <c r="D2341" s="8">
        <v>48.15</v>
      </c>
    </row>
    <row r="2342" spans="1:4" x14ac:dyDescent="0.45">
      <c r="A2342" s="7">
        <v>45915</v>
      </c>
      <c r="B2342" t="s">
        <v>93</v>
      </c>
      <c r="C2342" t="s">
        <v>106</v>
      </c>
      <c r="D2342" s="8">
        <v>-25.73</v>
      </c>
    </row>
    <row r="2343" spans="1:4" x14ac:dyDescent="0.45">
      <c r="A2343" s="7">
        <v>45335</v>
      </c>
      <c r="B2343" t="s">
        <v>95</v>
      </c>
      <c r="C2343" t="s">
        <v>108</v>
      </c>
      <c r="D2343" s="8">
        <v>258.82</v>
      </c>
    </row>
    <row r="2344" spans="1:4" x14ac:dyDescent="0.45">
      <c r="A2344" s="7">
        <v>45351</v>
      </c>
      <c r="B2344" t="s">
        <v>93</v>
      </c>
      <c r="C2344" t="s">
        <v>100</v>
      </c>
      <c r="D2344" s="8">
        <v>-65.489999999999995</v>
      </c>
    </row>
    <row r="2345" spans="1:4" x14ac:dyDescent="0.45">
      <c r="A2345" s="7">
        <v>45992</v>
      </c>
      <c r="B2345" t="s">
        <v>93</v>
      </c>
      <c r="C2345" t="s">
        <v>106</v>
      </c>
      <c r="D2345" s="8">
        <v>471.65</v>
      </c>
    </row>
    <row r="2346" spans="1:4" x14ac:dyDescent="0.45">
      <c r="A2346" s="7">
        <v>45512</v>
      </c>
      <c r="B2346" t="s">
        <v>95</v>
      </c>
      <c r="C2346" t="s">
        <v>96</v>
      </c>
      <c r="D2346" s="8">
        <v>285.66000000000003</v>
      </c>
    </row>
    <row r="2347" spans="1:4" x14ac:dyDescent="0.45">
      <c r="A2347" s="7">
        <v>45967</v>
      </c>
      <c r="B2347" t="s">
        <v>95</v>
      </c>
      <c r="C2347" t="s">
        <v>105</v>
      </c>
      <c r="D2347" s="8">
        <v>366.09</v>
      </c>
    </row>
    <row r="2348" spans="1:4" x14ac:dyDescent="0.45">
      <c r="A2348" s="7">
        <v>45318</v>
      </c>
      <c r="B2348" t="s">
        <v>93</v>
      </c>
      <c r="C2348" t="s">
        <v>106</v>
      </c>
      <c r="D2348" s="8">
        <v>162.05000000000001</v>
      </c>
    </row>
    <row r="2349" spans="1:4" x14ac:dyDescent="0.45">
      <c r="A2349" s="7">
        <v>45650</v>
      </c>
      <c r="B2349" t="s">
        <v>97</v>
      </c>
      <c r="C2349" t="s">
        <v>101</v>
      </c>
      <c r="D2349" s="8">
        <v>-54.63</v>
      </c>
    </row>
    <row r="2350" spans="1:4" x14ac:dyDescent="0.45">
      <c r="A2350" s="7">
        <v>45387</v>
      </c>
      <c r="B2350" t="s">
        <v>93</v>
      </c>
      <c r="C2350" t="s">
        <v>94</v>
      </c>
      <c r="D2350" s="8">
        <v>428.95</v>
      </c>
    </row>
    <row r="2351" spans="1:4" x14ac:dyDescent="0.45">
      <c r="A2351" s="7">
        <v>46083</v>
      </c>
      <c r="B2351" t="s">
        <v>95</v>
      </c>
      <c r="C2351" t="s">
        <v>96</v>
      </c>
      <c r="D2351" s="8">
        <v>184.83</v>
      </c>
    </row>
    <row r="2352" spans="1:4" x14ac:dyDescent="0.45">
      <c r="A2352" s="7">
        <v>46173</v>
      </c>
      <c r="B2352" t="s">
        <v>93</v>
      </c>
      <c r="C2352" t="s">
        <v>106</v>
      </c>
      <c r="D2352" s="8">
        <v>199.72</v>
      </c>
    </row>
    <row r="2353" spans="1:4" x14ac:dyDescent="0.45">
      <c r="A2353" s="7">
        <v>45863</v>
      </c>
      <c r="B2353" t="s">
        <v>93</v>
      </c>
      <c r="C2353" t="s">
        <v>94</v>
      </c>
      <c r="D2353" s="8">
        <v>74.59</v>
      </c>
    </row>
    <row r="2354" spans="1:4" x14ac:dyDescent="0.45">
      <c r="A2354" s="7">
        <v>45938</v>
      </c>
      <c r="B2354" t="s">
        <v>93</v>
      </c>
      <c r="C2354" t="s">
        <v>103</v>
      </c>
      <c r="D2354" s="8">
        <v>364.14</v>
      </c>
    </row>
    <row r="2355" spans="1:4" x14ac:dyDescent="0.45">
      <c r="A2355" s="7">
        <v>46080</v>
      </c>
      <c r="B2355" t="s">
        <v>95</v>
      </c>
      <c r="C2355" t="s">
        <v>99</v>
      </c>
      <c r="D2355" s="8">
        <v>188.86</v>
      </c>
    </row>
    <row r="2356" spans="1:4" x14ac:dyDescent="0.45">
      <c r="A2356" s="7">
        <v>46045</v>
      </c>
      <c r="B2356" t="s">
        <v>95</v>
      </c>
      <c r="C2356" t="s">
        <v>109</v>
      </c>
      <c r="D2356" s="8">
        <v>83.77</v>
      </c>
    </row>
    <row r="2357" spans="1:4" x14ac:dyDescent="0.45">
      <c r="A2357" s="7">
        <v>45747</v>
      </c>
      <c r="B2357" t="s">
        <v>97</v>
      </c>
      <c r="C2357" t="s">
        <v>101</v>
      </c>
      <c r="D2357" s="8">
        <v>162.28</v>
      </c>
    </row>
    <row r="2358" spans="1:4" x14ac:dyDescent="0.45">
      <c r="A2358" s="7">
        <v>46134</v>
      </c>
      <c r="B2358" t="s">
        <v>93</v>
      </c>
      <c r="C2358" t="s">
        <v>94</v>
      </c>
      <c r="D2358" s="8">
        <v>198.43</v>
      </c>
    </row>
    <row r="2359" spans="1:4" x14ac:dyDescent="0.45">
      <c r="A2359" s="7">
        <v>46007</v>
      </c>
      <c r="B2359" t="s">
        <v>97</v>
      </c>
      <c r="C2359" t="s">
        <v>101</v>
      </c>
      <c r="D2359" s="8">
        <v>-119.93</v>
      </c>
    </row>
    <row r="2360" spans="1:4" x14ac:dyDescent="0.45">
      <c r="A2360" s="7">
        <v>45933</v>
      </c>
      <c r="B2360" t="s">
        <v>95</v>
      </c>
      <c r="C2360" t="s">
        <v>108</v>
      </c>
      <c r="D2360" s="8">
        <v>-99.36</v>
      </c>
    </row>
    <row r="2361" spans="1:4" x14ac:dyDescent="0.45">
      <c r="A2361" s="7">
        <v>45349</v>
      </c>
      <c r="B2361" t="s">
        <v>97</v>
      </c>
      <c r="C2361" t="s">
        <v>98</v>
      </c>
      <c r="D2361" s="8">
        <v>495.79</v>
      </c>
    </row>
    <row r="2362" spans="1:4" x14ac:dyDescent="0.45">
      <c r="A2362" s="7">
        <v>45703</v>
      </c>
      <c r="B2362" t="s">
        <v>93</v>
      </c>
      <c r="C2362" t="s">
        <v>103</v>
      </c>
      <c r="D2362" s="8">
        <v>-47.25</v>
      </c>
    </row>
    <row r="2363" spans="1:4" x14ac:dyDescent="0.45">
      <c r="A2363" s="7">
        <v>45366</v>
      </c>
      <c r="B2363" t="s">
        <v>93</v>
      </c>
      <c r="C2363" t="s">
        <v>106</v>
      </c>
      <c r="D2363" s="8">
        <v>349.34</v>
      </c>
    </row>
    <row r="2364" spans="1:4" x14ac:dyDescent="0.45">
      <c r="A2364" s="7">
        <v>45412</v>
      </c>
      <c r="B2364" t="s">
        <v>97</v>
      </c>
      <c r="C2364" t="s">
        <v>101</v>
      </c>
      <c r="D2364" s="8">
        <v>320.23</v>
      </c>
    </row>
    <row r="2365" spans="1:4" x14ac:dyDescent="0.45">
      <c r="A2365" s="7">
        <v>45813</v>
      </c>
      <c r="B2365" t="s">
        <v>95</v>
      </c>
      <c r="C2365" t="s">
        <v>102</v>
      </c>
      <c r="D2365" s="8">
        <v>48.04</v>
      </c>
    </row>
    <row r="2366" spans="1:4" x14ac:dyDescent="0.45">
      <c r="A2366" s="7">
        <v>45551</v>
      </c>
      <c r="B2366" t="s">
        <v>95</v>
      </c>
      <c r="C2366" t="s">
        <v>99</v>
      </c>
      <c r="D2366" s="8">
        <v>-129.28</v>
      </c>
    </row>
    <row r="2367" spans="1:4" x14ac:dyDescent="0.45">
      <c r="A2367" s="7">
        <v>45582</v>
      </c>
      <c r="B2367" t="s">
        <v>97</v>
      </c>
      <c r="C2367" t="s">
        <v>101</v>
      </c>
      <c r="D2367" s="8">
        <v>427.99</v>
      </c>
    </row>
    <row r="2368" spans="1:4" x14ac:dyDescent="0.45">
      <c r="A2368" s="7">
        <v>45442</v>
      </c>
      <c r="B2368" t="s">
        <v>95</v>
      </c>
      <c r="C2368" t="s">
        <v>109</v>
      </c>
      <c r="D2368" s="8">
        <v>-47.53</v>
      </c>
    </row>
    <row r="2369" spans="1:4" x14ac:dyDescent="0.45">
      <c r="A2369" s="7">
        <v>45617</v>
      </c>
      <c r="B2369" t="s">
        <v>93</v>
      </c>
      <c r="C2369" t="s">
        <v>94</v>
      </c>
      <c r="D2369" s="8">
        <v>369.27</v>
      </c>
    </row>
    <row r="2370" spans="1:4" x14ac:dyDescent="0.45">
      <c r="A2370" s="7">
        <v>45322</v>
      </c>
      <c r="B2370" t="s">
        <v>93</v>
      </c>
      <c r="C2370" t="s">
        <v>103</v>
      </c>
      <c r="D2370" s="8">
        <v>-84.88</v>
      </c>
    </row>
    <row r="2371" spans="1:4" x14ac:dyDescent="0.45">
      <c r="A2371" s="7">
        <v>45813</v>
      </c>
      <c r="B2371" t="s">
        <v>93</v>
      </c>
      <c r="C2371" t="s">
        <v>106</v>
      </c>
      <c r="D2371" s="8">
        <v>-35.36</v>
      </c>
    </row>
    <row r="2372" spans="1:4" x14ac:dyDescent="0.45">
      <c r="A2372" s="7">
        <v>45335</v>
      </c>
      <c r="B2372" t="s">
        <v>93</v>
      </c>
      <c r="C2372" t="s">
        <v>94</v>
      </c>
      <c r="D2372" s="8">
        <v>267.69</v>
      </c>
    </row>
    <row r="2373" spans="1:4" x14ac:dyDescent="0.45">
      <c r="A2373" s="7">
        <v>45739</v>
      </c>
      <c r="B2373" t="s">
        <v>93</v>
      </c>
      <c r="C2373" t="s">
        <v>94</v>
      </c>
      <c r="D2373" s="8">
        <v>-110.35</v>
      </c>
    </row>
    <row r="2374" spans="1:4" x14ac:dyDescent="0.45">
      <c r="A2374" s="7">
        <v>46123</v>
      </c>
      <c r="B2374" t="s">
        <v>95</v>
      </c>
      <c r="C2374" t="s">
        <v>109</v>
      </c>
      <c r="D2374" s="8">
        <v>348.68</v>
      </c>
    </row>
    <row r="2375" spans="1:4" x14ac:dyDescent="0.45">
      <c r="A2375" s="7">
        <v>45791</v>
      </c>
      <c r="B2375" t="s">
        <v>97</v>
      </c>
      <c r="C2375" t="s">
        <v>101</v>
      </c>
      <c r="D2375" s="8">
        <v>387.19</v>
      </c>
    </row>
    <row r="2376" spans="1:4" x14ac:dyDescent="0.45">
      <c r="A2376" s="7">
        <v>45591</v>
      </c>
      <c r="B2376" t="s">
        <v>97</v>
      </c>
      <c r="C2376" t="s">
        <v>107</v>
      </c>
      <c r="D2376" s="8">
        <v>113.38</v>
      </c>
    </row>
    <row r="2377" spans="1:4" x14ac:dyDescent="0.45">
      <c r="A2377" s="7">
        <v>45489</v>
      </c>
      <c r="B2377" t="s">
        <v>93</v>
      </c>
      <c r="C2377" t="s">
        <v>100</v>
      </c>
      <c r="D2377" s="8">
        <v>302.36</v>
      </c>
    </row>
    <row r="2378" spans="1:4" x14ac:dyDescent="0.45">
      <c r="A2378" s="7">
        <v>45551</v>
      </c>
      <c r="B2378" t="s">
        <v>97</v>
      </c>
      <c r="C2378" t="s">
        <v>107</v>
      </c>
      <c r="D2378" s="8">
        <v>69.5</v>
      </c>
    </row>
    <row r="2379" spans="1:4" x14ac:dyDescent="0.45">
      <c r="A2379" s="7">
        <v>46012</v>
      </c>
      <c r="B2379" t="s">
        <v>97</v>
      </c>
      <c r="C2379" t="s">
        <v>104</v>
      </c>
      <c r="D2379" s="8">
        <v>-82.08</v>
      </c>
    </row>
    <row r="2380" spans="1:4" x14ac:dyDescent="0.45">
      <c r="A2380" s="7">
        <v>46008</v>
      </c>
      <c r="B2380" t="s">
        <v>95</v>
      </c>
      <c r="C2380" t="s">
        <v>96</v>
      </c>
      <c r="D2380" s="8">
        <v>431.82</v>
      </c>
    </row>
    <row r="2381" spans="1:4" x14ac:dyDescent="0.45">
      <c r="A2381" s="7">
        <v>46006</v>
      </c>
      <c r="B2381" t="s">
        <v>93</v>
      </c>
      <c r="C2381" t="s">
        <v>94</v>
      </c>
      <c r="D2381" s="8">
        <v>70.930000000000007</v>
      </c>
    </row>
    <row r="2382" spans="1:4" x14ac:dyDescent="0.45">
      <c r="A2382" s="7">
        <v>45870</v>
      </c>
      <c r="B2382" t="s">
        <v>97</v>
      </c>
      <c r="C2382" t="s">
        <v>104</v>
      </c>
      <c r="D2382" s="8">
        <v>47.32</v>
      </c>
    </row>
    <row r="2383" spans="1:4" x14ac:dyDescent="0.45">
      <c r="A2383" s="7">
        <v>45722</v>
      </c>
      <c r="B2383" t="s">
        <v>95</v>
      </c>
      <c r="C2383" t="s">
        <v>96</v>
      </c>
      <c r="D2383" s="8">
        <v>415.69</v>
      </c>
    </row>
    <row r="2384" spans="1:4" x14ac:dyDescent="0.45">
      <c r="A2384" s="7">
        <v>45465</v>
      </c>
      <c r="B2384" t="s">
        <v>95</v>
      </c>
      <c r="C2384" t="s">
        <v>108</v>
      </c>
      <c r="D2384" s="8">
        <v>378.99</v>
      </c>
    </row>
    <row r="2385" spans="1:4" x14ac:dyDescent="0.45">
      <c r="A2385" s="7">
        <v>46038</v>
      </c>
      <c r="B2385" t="s">
        <v>97</v>
      </c>
      <c r="C2385" t="s">
        <v>104</v>
      </c>
      <c r="D2385" s="8">
        <v>367.33</v>
      </c>
    </row>
    <row r="2386" spans="1:4" x14ac:dyDescent="0.45">
      <c r="A2386" s="7">
        <v>45606</v>
      </c>
      <c r="B2386" t="s">
        <v>97</v>
      </c>
      <c r="C2386" t="s">
        <v>98</v>
      </c>
      <c r="D2386" s="8">
        <v>125.07</v>
      </c>
    </row>
    <row r="2387" spans="1:4" x14ac:dyDescent="0.45">
      <c r="A2387" s="7">
        <v>45942</v>
      </c>
      <c r="B2387" t="s">
        <v>95</v>
      </c>
      <c r="C2387" t="s">
        <v>96</v>
      </c>
      <c r="D2387" s="8">
        <v>118.23</v>
      </c>
    </row>
    <row r="2388" spans="1:4" x14ac:dyDescent="0.45">
      <c r="A2388" s="7">
        <v>45622</v>
      </c>
      <c r="B2388" t="s">
        <v>93</v>
      </c>
      <c r="C2388" t="s">
        <v>94</v>
      </c>
      <c r="D2388" s="8">
        <v>381.42</v>
      </c>
    </row>
    <row r="2389" spans="1:4" x14ac:dyDescent="0.45">
      <c r="A2389" s="7">
        <v>46047</v>
      </c>
      <c r="B2389" t="s">
        <v>95</v>
      </c>
      <c r="C2389" t="s">
        <v>108</v>
      </c>
      <c r="D2389" s="8">
        <v>-90.71</v>
      </c>
    </row>
    <row r="2390" spans="1:4" x14ac:dyDescent="0.45">
      <c r="A2390" s="7">
        <v>45580</v>
      </c>
      <c r="B2390" t="s">
        <v>95</v>
      </c>
      <c r="C2390" t="s">
        <v>102</v>
      </c>
      <c r="D2390" s="8">
        <v>229.48</v>
      </c>
    </row>
    <row r="2391" spans="1:4" x14ac:dyDescent="0.45">
      <c r="A2391" s="7">
        <v>45590</v>
      </c>
      <c r="B2391" t="s">
        <v>95</v>
      </c>
      <c r="C2391" t="s">
        <v>109</v>
      </c>
      <c r="D2391" s="8">
        <v>-55.66</v>
      </c>
    </row>
    <row r="2392" spans="1:4" x14ac:dyDescent="0.45">
      <c r="A2392" s="7">
        <v>46111</v>
      </c>
      <c r="B2392" t="s">
        <v>95</v>
      </c>
      <c r="C2392" t="s">
        <v>108</v>
      </c>
      <c r="D2392" s="8">
        <v>96.64</v>
      </c>
    </row>
    <row r="2393" spans="1:4" x14ac:dyDescent="0.45">
      <c r="A2393" s="7">
        <v>45861</v>
      </c>
      <c r="B2393" t="s">
        <v>95</v>
      </c>
      <c r="C2393" t="s">
        <v>108</v>
      </c>
      <c r="D2393" s="8">
        <v>234.39</v>
      </c>
    </row>
    <row r="2394" spans="1:4" x14ac:dyDescent="0.45">
      <c r="A2394" s="7">
        <v>45382</v>
      </c>
      <c r="B2394" t="s">
        <v>95</v>
      </c>
      <c r="C2394" t="s">
        <v>109</v>
      </c>
      <c r="D2394" s="8">
        <v>-0.88</v>
      </c>
    </row>
    <row r="2395" spans="1:4" x14ac:dyDescent="0.45">
      <c r="A2395" s="7">
        <v>45711</v>
      </c>
      <c r="B2395" t="s">
        <v>93</v>
      </c>
      <c r="C2395" t="s">
        <v>106</v>
      </c>
      <c r="D2395" s="8">
        <v>312.75</v>
      </c>
    </row>
    <row r="2396" spans="1:4" x14ac:dyDescent="0.45">
      <c r="A2396" s="7">
        <v>46021</v>
      </c>
      <c r="B2396" t="s">
        <v>97</v>
      </c>
      <c r="C2396" t="s">
        <v>104</v>
      </c>
      <c r="D2396" s="8">
        <v>431.06</v>
      </c>
    </row>
    <row r="2397" spans="1:4" x14ac:dyDescent="0.45">
      <c r="A2397" s="7">
        <v>45896</v>
      </c>
      <c r="B2397" t="s">
        <v>97</v>
      </c>
      <c r="C2397" t="s">
        <v>101</v>
      </c>
      <c r="D2397" s="8">
        <v>360</v>
      </c>
    </row>
    <row r="2398" spans="1:4" x14ac:dyDescent="0.45">
      <c r="A2398" s="7">
        <v>45452</v>
      </c>
      <c r="B2398" t="s">
        <v>93</v>
      </c>
      <c r="C2398" t="s">
        <v>106</v>
      </c>
      <c r="D2398" s="8">
        <v>163.33000000000001</v>
      </c>
    </row>
    <row r="2399" spans="1:4" x14ac:dyDescent="0.45">
      <c r="A2399" s="7">
        <v>45959</v>
      </c>
      <c r="B2399" t="s">
        <v>93</v>
      </c>
      <c r="C2399" t="s">
        <v>103</v>
      </c>
      <c r="D2399" s="8">
        <v>-113.29</v>
      </c>
    </row>
    <row r="2400" spans="1:4" x14ac:dyDescent="0.45">
      <c r="A2400" s="7">
        <v>45585</v>
      </c>
      <c r="B2400" t="s">
        <v>97</v>
      </c>
      <c r="C2400" t="s">
        <v>98</v>
      </c>
      <c r="D2400" s="8">
        <v>398</v>
      </c>
    </row>
    <row r="2401" spans="1:4" x14ac:dyDescent="0.45">
      <c r="A2401" s="7">
        <v>45294</v>
      </c>
      <c r="B2401" t="s">
        <v>95</v>
      </c>
      <c r="C2401" t="s">
        <v>105</v>
      </c>
      <c r="D2401" s="8">
        <v>-73.239999999999995</v>
      </c>
    </row>
    <row r="2402" spans="1:4" x14ac:dyDescent="0.45">
      <c r="A2402" s="7">
        <v>45679</v>
      </c>
      <c r="B2402" t="s">
        <v>93</v>
      </c>
      <c r="C2402" t="s">
        <v>94</v>
      </c>
      <c r="D2402" s="8">
        <v>76.98</v>
      </c>
    </row>
    <row r="2403" spans="1:4" x14ac:dyDescent="0.45">
      <c r="A2403" s="7">
        <v>45942</v>
      </c>
      <c r="B2403" t="s">
        <v>93</v>
      </c>
      <c r="C2403" t="s">
        <v>100</v>
      </c>
      <c r="D2403" s="8">
        <v>312.38</v>
      </c>
    </row>
    <row r="2404" spans="1:4" x14ac:dyDescent="0.45">
      <c r="A2404" s="7">
        <v>45938</v>
      </c>
      <c r="B2404" t="s">
        <v>97</v>
      </c>
      <c r="C2404" t="s">
        <v>101</v>
      </c>
      <c r="D2404" s="8">
        <v>381.34</v>
      </c>
    </row>
    <row r="2405" spans="1:4" x14ac:dyDescent="0.45">
      <c r="A2405" s="7">
        <v>45946</v>
      </c>
      <c r="B2405" t="s">
        <v>93</v>
      </c>
      <c r="C2405" t="s">
        <v>103</v>
      </c>
      <c r="D2405" s="8">
        <v>-102.01</v>
      </c>
    </row>
    <row r="2406" spans="1:4" x14ac:dyDescent="0.45">
      <c r="A2406" s="7">
        <v>46050</v>
      </c>
      <c r="B2406" t="s">
        <v>97</v>
      </c>
      <c r="C2406" t="s">
        <v>101</v>
      </c>
      <c r="D2406" s="8">
        <v>198.88</v>
      </c>
    </row>
    <row r="2407" spans="1:4" x14ac:dyDescent="0.45">
      <c r="A2407" s="7">
        <v>45366</v>
      </c>
      <c r="B2407" t="s">
        <v>97</v>
      </c>
      <c r="C2407" t="s">
        <v>98</v>
      </c>
      <c r="D2407" s="8">
        <v>366.02</v>
      </c>
    </row>
    <row r="2408" spans="1:4" x14ac:dyDescent="0.45">
      <c r="A2408" s="7">
        <v>45610</v>
      </c>
      <c r="B2408" t="s">
        <v>95</v>
      </c>
      <c r="C2408" t="s">
        <v>109</v>
      </c>
      <c r="D2408" s="8">
        <v>-117.97</v>
      </c>
    </row>
    <row r="2409" spans="1:4" x14ac:dyDescent="0.45">
      <c r="A2409" s="7">
        <v>45886</v>
      </c>
      <c r="B2409" t="s">
        <v>95</v>
      </c>
      <c r="C2409" t="s">
        <v>102</v>
      </c>
      <c r="D2409" s="8">
        <v>77.48</v>
      </c>
    </row>
    <row r="2410" spans="1:4" x14ac:dyDescent="0.45">
      <c r="A2410" s="7">
        <v>45485</v>
      </c>
      <c r="B2410" t="s">
        <v>93</v>
      </c>
      <c r="C2410" t="s">
        <v>100</v>
      </c>
      <c r="D2410" s="8">
        <v>108.13</v>
      </c>
    </row>
    <row r="2411" spans="1:4" x14ac:dyDescent="0.45">
      <c r="A2411" s="7">
        <v>45350</v>
      </c>
      <c r="B2411" t="s">
        <v>97</v>
      </c>
      <c r="C2411" t="s">
        <v>98</v>
      </c>
      <c r="D2411" s="8">
        <v>250.85</v>
      </c>
    </row>
    <row r="2412" spans="1:4" x14ac:dyDescent="0.45">
      <c r="A2412" s="7">
        <v>46116</v>
      </c>
      <c r="B2412" t="s">
        <v>95</v>
      </c>
      <c r="C2412" t="s">
        <v>108</v>
      </c>
      <c r="D2412" s="8">
        <v>39.01</v>
      </c>
    </row>
    <row r="2413" spans="1:4" x14ac:dyDescent="0.45">
      <c r="A2413" s="7">
        <v>45349</v>
      </c>
      <c r="B2413" t="s">
        <v>93</v>
      </c>
      <c r="C2413" t="s">
        <v>106</v>
      </c>
      <c r="D2413" s="8">
        <v>-113.82</v>
      </c>
    </row>
    <row r="2414" spans="1:4" x14ac:dyDescent="0.45">
      <c r="A2414" s="7">
        <v>45613</v>
      </c>
      <c r="B2414" t="s">
        <v>93</v>
      </c>
      <c r="C2414" t="s">
        <v>106</v>
      </c>
      <c r="D2414" s="8">
        <v>-99.09</v>
      </c>
    </row>
    <row r="2415" spans="1:4" x14ac:dyDescent="0.45">
      <c r="A2415" s="7">
        <v>45520</v>
      </c>
      <c r="B2415" t="s">
        <v>97</v>
      </c>
      <c r="C2415" t="s">
        <v>107</v>
      </c>
      <c r="D2415" s="8">
        <v>-141.47999999999999</v>
      </c>
    </row>
    <row r="2416" spans="1:4" x14ac:dyDescent="0.45">
      <c r="A2416" s="7">
        <v>45883</v>
      </c>
      <c r="B2416" t="s">
        <v>95</v>
      </c>
      <c r="C2416" t="s">
        <v>96</v>
      </c>
      <c r="D2416" s="8">
        <v>-67.25</v>
      </c>
    </row>
    <row r="2417" spans="1:4" x14ac:dyDescent="0.45">
      <c r="A2417" s="7">
        <v>45424</v>
      </c>
      <c r="B2417" t="s">
        <v>93</v>
      </c>
      <c r="C2417" t="s">
        <v>94</v>
      </c>
      <c r="D2417" s="8">
        <v>360.97</v>
      </c>
    </row>
    <row r="2418" spans="1:4" x14ac:dyDescent="0.45">
      <c r="A2418" s="7">
        <v>45370</v>
      </c>
      <c r="B2418" t="s">
        <v>93</v>
      </c>
      <c r="C2418" t="s">
        <v>106</v>
      </c>
      <c r="D2418" s="8">
        <v>37.1</v>
      </c>
    </row>
    <row r="2419" spans="1:4" x14ac:dyDescent="0.45">
      <c r="A2419" s="7">
        <v>45487</v>
      </c>
      <c r="B2419" t="s">
        <v>97</v>
      </c>
      <c r="C2419" t="s">
        <v>104</v>
      </c>
      <c r="D2419" s="8">
        <v>246.03</v>
      </c>
    </row>
    <row r="2420" spans="1:4" x14ac:dyDescent="0.45">
      <c r="A2420" s="7">
        <v>45339</v>
      </c>
      <c r="B2420" t="s">
        <v>95</v>
      </c>
      <c r="C2420" t="s">
        <v>102</v>
      </c>
      <c r="D2420" s="8">
        <v>-90.4</v>
      </c>
    </row>
    <row r="2421" spans="1:4" x14ac:dyDescent="0.45">
      <c r="A2421" s="7">
        <v>46120</v>
      </c>
      <c r="B2421" t="s">
        <v>95</v>
      </c>
      <c r="C2421" t="s">
        <v>108</v>
      </c>
      <c r="D2421" s="8">
        <v>-119.19</v>
      </c>
    </row>
    <row r="2422" spans="1:4" x14ac:dyDescent="0.45">
      <c r="A2422" s="7">
        <v>45543</v>
      </c>
      <c r="B2422" t="s">
        <v>95</v>
      </c>
      <c r="C2422" t="s">
        <v>105</v>
      </c>
      <c r="D2422" s="8">
        <v>90.59</v>
      </c>
    </row>
    <row r="2423" spans="1:4" x14ac:dyDescent="0.45">
      <c r="A2423" s="7">
        <v>45869</v>
      </c>
      <c r="B2423" t="s">
        <v>93</v>
      </c>
      <c r="C2423" t="s">
        <v>106</v>
      </c>
      <c r="D2423" s="8">
        <v>419.71</v>
      </c>
    </row>
    <row r="2424" spans="1:4" x14ac:dyDescent="0.45">
      <c r="A2424" s="7">
        <v>45857</v>
      </c>
      <c r="B2424" t="s">
        <v>97</v>
      </c>
      <c r="C2424" t="s">
        <v>104</v>
      </c>
      <c r="D2424" s="8">
        <v>430.86</v>
      </c>
    </row>
    <row r="2425" spans="1:4" x14ac:dyDescent="0.45">
      <c r="A2425" s="7">
        <v>46035</v>
      </c>
      <c r="B2425" t="s">
        <v>95</v>
      </c>
      <c r="C2425" t="s">
        <v>102</v>
      </c>
      <c r="D2425" s="8">
        <v>-72.19</v>
      </c>
    </row>
    <row r="2426" spans="1:4" x14ac:dyDescent="0.45">
      <c r="A2426" s="7">
        <v>45568</v>
      </c>
      <c r="B2426" t="s">
        <v>95</v>
      </c>
      <c r="C2426" t="s">
        <v>96</v>
      </c>
      <c r="D2426" s="8">
        <v>281.73</v>
      </c>
    </row>
    <row r="2427" spans="1:4" x14ac:dyDescent="0.45">
      <c r="A2427" s="7">
        <v>46172</v>
      </c>
      <c r="B2427" t="s">
        <v>95</v>
      </c>
      <c r="C2427" t="s">
        <v>105</v>
      </c>
      <c r="D2427" s="8">
        <v>54.94</v>
      </c>
    </row>
    <row r="2428" spans="1:4" x14ac:dyDescent="0.45">
      <c r="A2428" s="7">
        <v>45639</v>
      </c>
      <c r="B2428" t="s">
        <v>93</v>
      </c>
      <c r="C2428" t="s">
        <v>94</v>
      </c>
      <c r="D2428" s="8">
        <v>403.09</v>
      </c>
    </row>
    <row r="2429" spans="1:4" x14ac:dyDescent="0.45">
      <c r="A2429" s="7">
        <v>45641</v>
      </c>
      <c r="B2429" t="s">
        <v>93</v>
      </c>
      <c r="C2429" t="s">
        <v>106</v>
      </c>
      <c r="D2429" s="8">
        <v>214.98</v>
      </c>
    </row>
    <row r="2430" spans="1:4" x14ac:dyDescent="0.45">
      <c r="A2430" s="7">
        <v>45855</v>
      </c>
      <c r="B2430" t="s">
        <v>97</v>
      </c>
      <c r="C2430" t="s">
        <v>98</v>
      </c>
      <c r="D2430" s="8">
        <v>444.39</v>
      </c>
    </row>
    <row r="2431" spans="1:4" x14ac:dyDescent="0.45">
      <c r="A2431" s="7">
        <v>45632</v>
      </c>
      <c r="B2431" t="s">
        <v>95</v>
      </c>
      <c r="C2431" t="s">
        <v>109</v>
      </c>
      <c r="D2431" s="8">
        <v>410.57</v>
      </c>
    </row>
    <row r="2432" spans="1:4" x14ac:dyDescent="0.45">
      <c r="A2432" s="7">
        <v>45623</v>
      </c>
      <c r="B2432" t="s">
        <v>93</v>
      </c>
      <c r="C2432" t="s">
        <v>94</v>
      </c>
      <c r="D2432" s="8">
        <v>154.24</v>
      </c>
    </row>
    <row r="2433" spans="1:4" x14ac:dyDescent="0.45">
      <c r="A2433" s="7">
        <v>45766</v>
      </c>
      <c r="B2433" t="s">
        <v>95</v>
      </c>
      <c r="C2433" t="s">
        <v>105</v>
      </c>
      <c r="D2433" s="8">
        <v>-68.2</v>
      </c>
    </row>
    <row r="2434" spans="1:4" x14ac:dyDescent="0.45">
      <c r="A2434" s="7">
        <v>45399</v>
      </c>
      <c r="B2434" t="s">
        <v>97</v>
      </c>
      <c r="C2434" t="s">
        <v>104</v>
      </c>
      <c r="D2434" s="8">
        <v>145.82</v>
      </c>
    </row>
    <row r="2435" spans="1:4" x14ac:dyDescent="0.45">
      <c r="A2435" s="7">
        <v>45440</v>
      </c>
      <c r="B2435" t="s">
        <v>95</v>
      </c>
      <c r="C2435" t="s">
        <v>102</v>
      </c>
      <c r="D2435" s="8">
        <v>309.74</v>
      </c>
    </row>
    <row r="2436" spans="1:4" x14ac:dyDescent="0.45">
      <c r="A2436" s="7">
        <v>45803</v>
      </c>
      <c r="B2436" t="s">
        <v>95</v>
      </c>
      <c r="C2436" t="s">
        <v>99</v>
      </c>
      <c r="D2436" s="8">
        <v>36.32</v>
      </c>
    </row>
    <row r="2437" spans="1:4" x14ac:dyDescent="0.45">
      <c r="A2437" s="7">
        <v>46101</v>
      </c>
      <c r="B2437" t="s">
        <v>97</v>
      </c>
      <c r="C2437" t="s">
        <v>107</v>
      </c>
      <c r="D2437" s="8">
        <v>104.99</v>
      </c>
    </row>
    <row r="2438" spans="1:4" x14ac:dyDescent="0.45">
      <c r="A2438" s="7">
        <v>45328</v>
      </c>
      <c r="B2438" t="s">
        <v>97</v>
      </c>
      <c r="C2438" t="s">
        <v>98</v>
      </c>
      <c r="D2438" s="8">
        <v>379.78</v>
      </c>
    </row>
    <row r="2439" spans="1:4" x14ac:dyDescent="0.45">
      <c r="A2439" s="7">
        <v>46082</v>
      </c>
      <c r="B2439" t="s">
        <v>95</v>
      </c>
      <c r="C2439" t="s">
        <v>99</v>
      </c>
      <c r="D2439" s="8">
        <v>122.01</v>
      </c>
    </row>
    <row r="2440" spans="1:4" x14ac:dyDescent="0.45">
      <c r="A2440" s="7">
        <v>45624</v>
      </c>
      <c r="B2440" t="s">
        <v>95</v>
      </c>
      <c r="C2440" t="s">
        <v>102</v>
      </c>
      <c r="D2440" s="8">
        <v>498.56</v>
      </c>
    </row>
    <row r="2441" spans="1:4" x14ac:dyDescent="0.45">
      <c r="A2441" s="7">
        <v>45994</v>
      </c>
      <c r="B2441" t="s">
        <v>93</v>
      </c>
      <c r="C2441" t="s">
        <v>100</v>
      </c>
      <c r="D2441" s="8">
        <v>332.7</v>
      </c>
    </row>
    <row r="2442" spans="1:4" x14ac:dyDescent="0.45">
      <c r="A2442" s="7">
        <v>46068</v>
      </c>
      <c r="B2442" t="s">
        <v>93</v>
      </c>
      <c r="C2442" t="s">
        <v>103</v>
      </c>
      <c r="D2442" s="8">
        <v>276.70999999999998</v>
      </c>
    </row>
    <row r="2443" spans="1:4" x14ac:dyDescent="0.45">
      <c r="A2443" s="7">
        <v>46018</v>
      </c>
      <c r="B2443" t="s">
        <v>97</v>
      </c>
      <c r="C2443" t="s">
        <v>101</v>
      </c>
      <c r="D2443" s="8">
        <v>305.83999999999997</v>
      </c>
    </row>
    <row r="2444" spans="1:4" x14ac:dyDescent="0.45">
      <c r="A2444" s="7">
        <v>45871</v>
      </c>
      <c r="B2444" t="s">
        <v>95</v>
      </c>
      <c r="C2444" t="s">
        <v>99</v>
      </c>
      <c r="D2444" s="8">
        <v>51.34</v>
      </c>
    </row>
    <row r="2445" spans="1:4" x14ac:dyDescent="0.45">
      <c r="A2445" s="7">
        <v>45793</v>
      </c>
      <c r="B2445" t="s">
        <v>97</v>
      </c>
      <c r="C2445" t="s">
        <v>98</v>
      </c>
      <c r="D2445" s="8">
        <v>27.11</v>
      </c>
    </row>
    <row r="2446" spans="1:4" x14ac:dyDescent="0.45">
      <c r="A2446" s="7">
        <v>45326</v>
      </c>
      <c r="B2446" t="s">
        <v>93</v>
      </c>
      <c r="C2446" t="s">
        <v>103</v>
      </c>
      <c r="D2446" s="8">
        <v>84.1</v>
      </c>
    </row>
    <row r="2447" spans="1:4" x14ac:dyDescent="0.45">
      <c r="A2447" s="7">
        <v>45898</v>
      </c>
      <c r="B2447" t="s">
        <v>95</v>
      </c>
      <c r="C2447" t="s">
        <v>99</v>
      </c>
      <c r="D2447" s="8">
        <v>454.48</v>
      </c>
    </row>
    <row r="2448" spans="1:4" x14ac:dyDescent="0.45">
      <c r="A2448" s="7">
        <v>45327</v>
      </c>
      <c r="B2448" t="s">
        <v>97</v>
      </c>
      <c r="C2448" t="s">
        <v>101</v>
      </c>
      <c r="D2448" s="8">
        <v>466.81</v>
      </c>
    </row>
    <row r="2449" spans="1:4" x14ac:dyDescent="0.45">
      <c r="A2449" s="7">
        <v>45565</v>
      </c>
      <c r="B2449" t="s">
        <v>95</v>
      </c>
      <c r="C2449" t="s">
        <v>109</v>
      </c>
      <c r="D2449" s="8">
        <v>464.92</v>
      </c>
    </row>
    <row r="2450" spans="1:4" x14ac:dyDescent="0.45">
      <c r="A2450" s="7">
        <v>45997</v>
      </c>
      <c r="B2450" t="s">
        <v>97</v>
      </c>
      <c r="C2450" t="s">
        <v>104</v>
      </c>
      <c r="D2450" s="8">
        <v>361.41</v>
      </c>
    </row>
    <row r="2451" spans="1:4" x14ac:dyDescent="0.45">
      <c r="A2451" s="7">
        <v>45983</v>
      </c>
      <c r="B2451" t="s">
        <v>97</v>
      </c>
      <c r="C2451" t="s">
        <v>104</v>
      </c>
      <c r="D2451" s="8">
        <v>185.56</v>
      </c>
    </row>
    <row r="2452" spans="1:4" x14ac:dyDescent="0.45">
      <c r="A2452" s="7">
        <v>45497</v>
      </c>
      <c r="B2452" t="s">
        <v>95</v>
      </c>
      <c r="C2452" t="s">
        <v>99</v>
      </c>
      <c r="D2452" s="8">
        <v>465.17</v>
      </c>
    </row>
    <row r="2453" spans="1:4" x14ac:dyDescent="0.45">
      <c r="A2453" s="7">
        <v>45984</v>
      </c>
      <c r="B2453" t="s">
        <v>93</v>
      </c>
      <c r="C2453" t="s">
        <v>100</v>
      </c>
      <c r="D2453" s="8">
        <v>433.44</v>
      </c>
    </row>
    <row r="2454" spans="1:4" x14ac:dyDescent="0.45">
      <c r="A2454" s="7">
        <v>45367</v>
      </c>
      <c r="B2454" t="s">
        <v>97</v>
      </c>
      <c r="C2454" t="s">
        <v>107</v>
      </c>
      <c r="D2454" s="8">
        <v>-143.84</v>
      </c>
    </row>
    <row r="2455" spans="1:4" x14ac:dyDescent="0.45">
      <c r="A2455" s="7">
        <v>45572</v>
      </c>
      <c r="B2455" t="s">
        <v>97</v>
      </c>
      <c r="C2455" t="s">
        <v>101</v>
      </c>
      <c r="D2455" s="8">
        <v>258.72000000000003</v>
      </c>
    </row>
    <row r="2456" spans="1:4" x14ac:dyDescent="0.45">
      <c r="A2456" s="7">
        <v>46020</v>
      </c>
      <c r="B2456" t="s">
        <v>93</v>
      </c>
      <c r="C2456" t="s">
        <v>106</v>
      </c>
      <c r="D2456" s="8">
        <v>413.72</v>
      </c>
    </row>
    <row r="2457" spans="1:4" x14ac:dyDescent="0.45">
      <c r="A2457" s="7">
        <v>45943</v>
      </c>
      <c r="B2457" t="s">
        <v>95</v>
      </c>
      <c r="C2457" t="s">
        <v>102</v>
      </c>
      <c r="D2457" s="8">
        <v>22.01</v>
      </c>
    </row>
    <row r="2458" spans="1:4" x14ac:dyDescent="0.45">
      <c r="A2458" s="7">
        <v>45738</v>
      </c>
      <c r="B2458" t="s">
        <v>97</v>
      </c>
      <c r="C2458" t="s">
        <v>107</v>
      </c>
      <c r="D2458" s="8">
        <v>374.38</v>
      </c>
    </row>
    <row r="2459" spans="1:4" x14ac:dyDescent="0.45">
      <c r="A2459" s="7">
        <v>45914</v>
      </c>
      <c r="B2459" t="s">
        <v>97</v>
      </c>
      <c r="C2459" t="s">
        <v>104</v>
      </c>
      <c r="D2459" s="8">
        <v>478.46</v>
      </c>
    </row>
    <row r="2460" spans="1:4" x14ac:dyDescent="0.45">
      <c r="A2460" s="7">
        <v>45960</v>
      </c>
      <c r="B2460" t="s">
        <v>95</v>
      </c>
      <c r="C2460" t="s">
        <v>96</v>
      </c>
      <c r="D2460" s="8">
        <v>-61.95</v>
      </c>
    </row>
    <row r="2461" spans="1:4" x14ac:dyDescent="0.45">
      <c r="A2461" s="7">
        <v>46190</v>
      </c>
      <c r="B2461" t="s">
        <v>97</v>
      </c>
      <c r="C2461" t="s">
        <v>98</v>
      </c>
      <c r="D2461" s="8">
        <v>-72.63</v>
      </c>
    </row>
    <row r="2462" spans="1:4" x14ac:dyDescent="0.45">
      <c r="A2462" s="7">
        <v>45442</v>
      </c>
      <c r="B2462" t="s">
        <v>95</v>
      </c>
      <c r="C2462" t="s">
        <v>108</v>
      </c>
      <c r="D2462" s="8">
        <v>45.54</v>
      </c>
    </row>
    <row r="2463" spans="1:4" x14ac:dyDescent="0.45">
      <c r="A2463" s="7">
        <v>46161</v>
      </c>
      <c r="B2463" t="s">
        <v>97</v>
      </c>
      <c r="C2463" t="s">
        <v>98</v>
      </c>
      <c r="D2463" s="8">
        <v>477.04</v>
      </c>
    </row>
    <row r="2464" spans="1:4" x14ac:dyDescent="0.45">
      <c r="A2464" s="7">
        <v>46151</v>
      </c>
      <c r="B2464" t="s">
        <v>93</v>
      </c>
      <c r="C2464" t="s">
        <v>100</v>
      </c>
      <c r="D2464" s="8">
        <v>186.43</v>
      </c>
    </row>
    <row r="2465" spans="1:4" x14ac:dyDescent="0.45">
      <c r="A2465" s="7">
        <v>46077</v>
      </c>
      <c r="B2465" t="s">
        <v>93</v>
      </c>
      <c r="C2465" t="s">
        <v>106</v>
      </c>
      <c r="D2465" s="8">
        <v>177.87</v>
      </c>
    </row>
    <row r="2466" spans="1:4" x14ac:dyDescent="0.45">
      <c r="A2466" s="7">
        <v>45979</v>
      </c>
      <c r="B2466" t="s">
        <v>97</v>
      </c>
      <c r="C2466" t="s">
        <v>107</v>
      </c>
      <c r="D2466" s="8">
        <v>96.69</v>
      </c>
    </row>
    <row r="2467" spans="1:4" x14ac:dyDescent="0.45">
      <c r="A2467" s="7">
        <v>46087</v>
      </c>
      <c r="B2467" t="s">
        <v>93</v>
      </c>
      <c r="C2467" t="s">
        <v>106</v>
      </c>
      <c r="D2467" s="8">
        <v>272.73</v>
      </c>
    </row>
    <row r="2468" spans="1:4" x14ac:dyDescent="0.45">
      <c r="A2468" s="7">
        <v>45754</v>
      </c>
      <c r="B2468" t="s">
        <v>93</v>
      </c>
      <c r="C2468" t="s">
        <v>100</v>
      </c>
      <c r="D2468" s="8">
        <v>-27.66</v>
      </c>
    </row>
    <row r="2469" spans="1:4" x14ac:dyDescent="0.45">
      <c r="A2469" s="7">
        <v>45450</v>
      </c>
      <c r="B2469" t="s">
        <v>95</v>
      </c>
      <c r="C2469" t="s">
        <v>96</v>
      </c>
      <c r="D2469" s="8">
        <v>-71.489999999999995</v>
      </c>
    </row>
    <row r="2470" spans="1:4" x14ac:dyDescent="0.45">
      <c r="A2470" s="7">
        <v>45841</v>
      </c>
      <c r="B2470" t="s">
        <v>97</v>
      </c>
      <c r="C2470" t="s">
        <v>104</v>
      </c>
      <c r="D2470" s="8">
        <v>280.01</v>
      </c>
    </row>
    <row r="2471" spans="1:4" x14ac:dyDescent="0.45">
      <c r="A2471" s="7">
        <v>45932</v>
      </c>
      <c r="B2471" t="s">
        <v>97</v>
      </c>
      <c r="C2471" t="s">
        <v>104</v>
      </c>
      <c r="D2471" s="8">
        <v>-145.66999999999999</v>
      </c>
    </row>
    <row r="2472" spans="1:4" x14ac:dyDescent="0.45">
      <c r="A2472" s="7">
        <v>46058</v>
      </c>
      <c r="B2472" t="s">
        <v>95</v>
      </c>
      <c r="C2472" t="s">
        <v>109</v>
      </c>
      <c r="D2472" s="8">
        <v>394.24</v>
      </c>
    </row>
    <row r="2473" spans="1:4" x14ac:dyDescent="0.45">
      <c r="A2473" s="7">
        <v>45375</v>
      </c>
      <c r="B2473" t="s">
        <v>95</v>
      </c>
      <c r="C2473" t="s">
        <v>105</v>
      </c>
      <c r="D2473" s="8">
        <v>312.62</v>
      </c>
    </row>
    <row r="2474" spans="1:4" x14ac:dyDescent="0.45">
      <c r="A2474" s="7">
        <v>45651</v>
      </c>
      <c r="B2474" t="s">
        <v>95</v>
      </c>
      <c r="C2474" t="s">
        <v>96</v>
      </c>
      <c r="D2474" s="8">
        <v>345.65</v>
      </c>
    </row>
    <row r="2475" spans="1:4" x14ac:dyDescent="0.45">
      <c r="A2475" s="7">
        <v>45941</v>
      </c>
      <c r="B2475" t="s">
        <v>95</v>
      </c>
      <c r="C2475" t="s">
        <v>102</v>
      </c>
      <c r="D2475" s="8">
        <v>-7.37</v>
      </c>
    </row>
    <row r="2476" spans="1:4" x14ac:dyDescent="0.45">
      <c r="A2476" s="7">
        <v>45332</v>
      </c>
      <c r="B2476" t="s">
        <v>95</v>
      </c>
      <c r="C2476" t="s">
        <v>96</v>
      </c>
      <c r="D2476" s="8">
        <v>147.86000000000001</v>
      </c>
    </row>
    <row r="2477" spans="1:4" x14ac:dyDescent="0.45">
      <c r="A2477" s="7">
        <v>46140</v>
      </c>
      <c r="B2477" t="s">
        <v>97</v>
      </c>
      <c r="C2477" t="s">
        <v>107</v>
      </c>
      <c r="D2477" s="8">
        <v>277.14</v>
      </c>
    </row>
    <row r="2478" spans="1:4" x14ac:dyDescent="0.45">
      <c r="A2478" s="7">
        <v>45698</v>
      </c>
      <c r="B2478" t="s">
        <v>93</v>
      </c>
      <c r="C2478" t="s">
        <v>106</v>
      </c>
      <c r="D2478" s="8">
        <v>176.73</v>
      </c>
    </row>
    <row r="2479" spans="1:4" x14ac:dyDescent="0.45">
      <c r="A2479" s="7">
        <v>46122</v>
      </c>
      <c r="B2479" t="s">
        <v>95</v>
      </c>
      <c r="C2479" t="s">
        <v>96</v>
      </c>
      <c r="D2479" s="8">
        <v>210.2</v>
      </c>
    </row>
    <row r="2480" spans="1:4" x14ac:dyDescent="0.45">
      <c r="A2480" s="7">
        <v>45774</v>
      </c>
      <c r="B2480" t="s">
        <v>97</v>
      </c>
      <c r="C2480" t="s">
        <v>101</v>
      </c>
      <c r="D2480" s="8">
        <v>133.82</v>
      </c>
    </row>
    <row r="2481" spans="1:4" x14ac:dyDescent="0.45">
      <c r="A2481" s="7">
        <v>45890</v>
      </c>
      <c r="B2481" t="s">
        <v>93</v>
      </c>
      <c r="C2481" t="s">
        <v>94</v>
      </c>
      <c r="D2481" s="8">
        <v>292.52</v>
      </c>
    </row>
    <row r="2482" spans="1:4" x14ac:dyDescent="0.45">
      <c r="A2482" s="7">
        <v>45898</v>
      </c>
      <c r="B2482" t="s">
        <v>93</v>
      </c>
      <c r="C2482" t="s">
        <v>100</v>
      </c>
      <c r="D2482" s="8">
        <v>197.59</v>
      </c>
    </row>
    <row r="2483" spans="1:4" x14ac:dyDescent="0.45">
      <c r="A2483" s="7">
        <v>45903</v>
      </c>
      <c r="B2483" t="s">
        <v>93</v>
      </c>
      <c r="C2483" t="s">
        <v>106</v>
      </c>
      <c r="D2483" s="8">
        <v>232.82</v>
      </c>
    </row>
    <row r="2484" spans="1:4" x14ac:dyDescent="0.45">
      <c r="A2484" s="7">
        <v>45791</v>
      </c>
      <c r="B2484" t="s">
        <v>95</v>
      </c>
      <c r="C2484" t="s">
        <v>96</v>
      </c>
      <c r="D2484" s="8">
        <v>7.89</v>
      </c>
    </row>
    <row r="2485" spans="1:4" x14ac:dyDescent="0.45">
      <c r="A2485" s="7">
        <v>45973</v>
      </c>
      <c r="B2485" t="s">
        <v>95</v>
      </c>
      <c r="C2485" t="s">
        <v>108</v>
      </c>
      <c r="D2485" s="8">
        <v>185.86</v>
      </c>
    </row>
    <row r="2486" spans="1:4" x14ac:dyDescent="0.45">
      <c r="A2486" s="7">
        <v>46121</v>
      </c>
      <c r="B2486" t="s">
        <v>93</v>
      </c>
      <c r="C2486" t="s">
        <v>103</v>
      </c>
      <c r="D2486" s="8">
        <v>-23.55</v>
      </c>
    </row>
    <row r="2487" spans="1:4" x14ac:dyDescent="0.45">
      <c r="A2487" s="7">
        <v>45970</v>
      </c>
      <c r="B2487" t="s">
        <v>95</v>
      </c>
      <c r="C2487" t="s">
        <v>109</v>
      </c>
      <c r="D2487" s="8">
        <v>150.05000000000001</v>
      </c>
    </row>
    <row r="2488" spans="1:4" x14ac:dyDescent="0.45">
      <c r="A2488" s="7">
        <v>45908</v>
      </c>
      <c r="B2488" t="s">
        <v>95</v>
      </c>
      <c r="C2488" t="s">
        <v>109</v>
      </c>
      <c r="D2488" s="8">
        <v>357.84</v>
      </c>
    </row>
    <row r="2489" spans="1:4" x14ac:dyDescent="0.45">
      <c r="A2489" s="7">
        <v>45854</v>
      </c>
      <c r="B2489" t="s">
        <v>95</v>
      </c>
      <c r="C2489" t="s">
        <v>105</v>
      </c>
      <c r="D2489" s="8">
        <v>52.01</v>
      </c>
    </row>
    <row r="2490" spans="1:4" x14ac:dyDescent="0.45">
      <c r="A2490" s="7">
        <v>45706</v>
      </c>
      <c r="B2490" t="s">
        <v>95</v>
      </c>
      <c r="C2490" t="s">
        <v>102</v>
      </c>
      <c r="D2490" s="8">
        <v>-61.94</v>
      </c>
    </row>
    <row r="2491" spans="1:4" x14ac:dyDescent="0.45">
      <c r="A2491" s="7">
        <v>45333</v>
      </c>
      <c r="B2491" t="s">
        <v>95</v>
      </c>
      <c r="C2491" t="s">
        <v>105</v>
      </c>
      <c r="D2491" s="8">
        <v>331.95</v>
      </c>
    </row>
    <row r="2492" spans="1:4" x14ac:dyDescent="0.45">
      <c r="A2492" s="7">
        <v>46135</v>
      </c>
      <c r="B2492" t="s">
        <v>93</v>
      </c>
      <c r="C2492" t="s">
        <v>103</v>
      </c>
      <c r="D2492" s="8">
        <v>116.13</v>
      </c>
    </row>
    <row r="2493" spans="1:4" x14ac:dyDescent="0.45">
      <c r="A2493" s="7">
        <v>45540</v>
      </c>
      <c r="B2493" t="s">
        <v>97</v>
      </c>
      <c r="C2493" t="s">
        <v>107</v>
      </c>
      <c r="D2493" s="8">
        <v>165.38</v>
      </c>
    </row>
    <row r="2494" spans="1:4" x14ac:dyDescent="0.45">
      <c r="A2494" s="7">
        <v>45761</v>
      </c>
      <c r="B2494" t="s">
        <v>95</v>
      </c>
      <c r="C2494" t="s">
        <v>108</v>
      </c>
      <c r="D2494" s="8">
        <v>-85.53</v>
      </c>
    </row>
    <row r="2495" spans="1:4" x14ac:dyDescent="0.45">
      <c r="A2495" s="7">
        <v>46162</v>
      </c>
      <c r="B2495" t="s">
        <v>97</v>
      </c>
      <c r="C2495" t="s">
        <v>107</v>
      </c>
      <c r="D2495" s="8">
        <v>310.41000000000003</v>
      </c>
    </row>
    <row r="2496" spans="1:4" x14ac:dyDescent="0.45">
      <c r="A2496" s="7">
        <v>45314</v>
      </c>
      <c r="B2496" t="s">
        <v>97</v>
      </c>
      <c r="C2496" t="s">
        <v>104</v>
      </c>
      <c r="D2496" s="8">
        <v>366.77</v>
      </c>
    </row>
    <row r="2497" spans="1:4" x14ac:dyDescent="0.45">
      <c r="A2497" s="7">
        <v>45361</v>
      </c>
      <c r="B2497" t="s">
        <v>97</v>
      </c>
      <c r="C2497" t="s">
        <v>107</v>
      </c>
      <c r="D2497" s="8">
        <v>152.69</v>
      </c>
    </row>
    <row r="2498" spans="1:4" x14ac:dyDescent="0.45">
      <c r="A2498" s="7">
        <v>45709</v>
      </c>
      <c r="B2498" t="s">
        <v>95</v>
      </c>
      <c r="C2498" t="s">
        <v>108</v>
      </c>
      <c r="D2498" s="8">
        <v>301.19</v>
      </c>
    </row>
    <row r="2499" spans="1:4" x14ac:dyDescent="0.45">
      <c r="A2499" s="7">
        <v>46086</v>
      </c>
      <c r="B2499" t="s">
        <v>97</v>
      </c>
      <c r="C2499" t="s">
        <v>107</v>
      </c>
      <c r="D2499" s="8">
        <v>381.46</v>
      </c>
    </row>
    <row r="2500" spans="1:4" x14ac:dyDescent="0.45">
      <c r="A2500" s="7">
        <v>45819</v>
      </c>
      <c r="B2500" t="s">
        <v>97</v>
      </c>
      <c r="C2500" t="s">
        <v>104</v>
      </c>
      <c r="D2500" s="8">
        <v>-2.44</v>
      </c>
    </row>
    <row r="2501" spans="1:4" x14ac:dyDescent="0.45">
      <c r="A2501" s="7">
        <v>45611</v>
      </c>
      <c r="B2501" t="s">
        <v>95</v>
      </c>
      <c r="C2501" t="s">
        <v>99</v>
      </c>
      <c r="D2501" s="8">
        <v>482.01</v>
      </c>
    </row>
    <row r="2502" spans="1:4" x14ac:dyDescent="0.45">
      <c r="A2502" s="7">
        <v>45548</v>
      </c>
      <c r="B2502" t="s">
        <v>93</v>
      </c>
      <c r="C2502" t="s">
        <v>100</v>
      </c>
      <c r="D2502" s="8">
        <v>32.729999999999997</v>
      </c>
    </row>
    <row r="2503" spans="1:4" x14ac:dyDescent="0.45">
      <c r="A2503" s="7">
        <v>45775</v>
      </c>
      <c r="B2503" t="s">
        <v>97</v>
      </c>
      <c r="C2503" t="s">
        <v>107</v>
      </c>
      <c r="D2503" s="8">
        <v>-103.49</v>
      </c>
    </row>
    <row r="2504" spans="1:4" x14ac:dyDescent="0.45">
      <c r="A2504" s="7">
        <v>46029</v>
      </c>
      <c r="B2504" t="s">
        <v>97</v>
      </c>
      <c r="C2504" t="s">
        <v>104</v>
      </c>
      <c r="D2504" s="8">
        <v>-34.200000000000003</v>
      </c>
    </row>
    <row r="2505" spans="1:4" x14ac:dyDescent="0.45">
      <c r="A2505" s="7">
        <v>45492</v>
      </c>
      <c r="B2505" t="s">
        <v>97</v>
      </c>
      <c r="C2505" t="s">
        <v>107</v>
      </c>
      <c r="D2505" s="8">
        <v>396.37</v>
      </c>
    </row>
    <row r="2506" spans="1:4" x14ac:dyDescent="0.45">
      <c r="A2506" s="7">
        <v>45652</v>
      </c>
      <c r="B2506" t="s">
        <v>97</v>
      </c>
      <c r="C2506" t="s">
        <v>101</v>
      </c>
      <c r="D2506" s="8">
        <v>350.98</v>
      </c>
    </row>
    <row r="2507" spans="1:4" x14ac:dyDescent="0.45">
      <c r="A2507" s="7">
        <v>45681</v>
      </c>
      <c r="B2507" t="s">
        <v>97</v>
      </c>
      <c r="C2507" t="s">
        <v>107</v>
      </c>
      <c r="D2507" s="8">
        <v>321.88</v>
      </c>
    </row>
    <row r="2508" spans="1:4" x14ac:dyDescent="0.45">
      <c r="A2508" s="7">
        <v>45624</v>
      </c>
      <c r="B2508" t="s">
        <v>95</v>
      </c>
      <c r="C2508" t="s">
        <v>105</v>
      </c>
      <c r="D2508" s="8">
        <v>103.26</v>
      </c>
    </row>
    <row r="2509" spans="1:4" x14ac:dyDescent="0.45">
      <c r="A2509" s="7">
        <v>45328</v>
      </c>
      <c r="B2509" t="s">
        <v>93</v>
      </c>
      <c r="C2509" t="s">
        <v>103</v>
      </c>
      <c r="D2509" s="8">
        <v>322.68</v>
      </c>
    </row>
    <row r="2510" spans="1:4" x14ac:dyDescent="0.45">
      <c r="A2510" s="7">
        <v>45875</v>
      </c>
      <c r="B2510" t="s">
        <v>97</v>
      </c>
      <c r="C2510" t="s">
        <v>107</v>
      </c>
      <c r="D2510" s="8">
        <v>38.020000000000003</v>
      </c>
    </row>
    <row r="2511" spans="1:4" x14ac:dyDescent="0.45">
      <c r="A2511" s="7">
        <v>45556</v>
      </c>
      <c r="B2511" t="s">
        <v>95</v>
      </c>
      <c r="C2511" t="s">
        <v>102</v>
      </c>
      <c r="D2511" s="8">
        <v>43.25</v>
      </c>
    </row>
    <row r="2512" spans="1:4" x14ac:dyDescent="0.45">
      <c r="A2512" s="7">
        <v>46057</v>
      </c>
      <c r="B2512" t="s">
        <v>97</v>
      </c>
      <c r="C2512" t="s">
        <v>107</v>
      </c>
      <c r="D2512" s="8">
        <v>10.56</v>
      </c>
    </row>
    <row r="2513" spans="1:4" x14ac:dyDescent="0.45">
      <c r="A2513" s="7">
        <v>45779</v>
      </c>
      <c r="B2513" t="s">
        <v>97</v>
      </c>
      <c r="C2513" t="s">
        <v>98</v>
      </c>
      <c r="D2513" s="8">
        <v>333.63</v>
      </c>
    </row>
    <row r="2514" spans="1:4" x14ac:dyDescent="0.45">
      <c r="A2514" s="7">
        <v>45833</v>
      </c>
      <c r="B2514" t="s">
        <v>95</v>
      </c>
      <c r="C2514" t="s">
        <v>96</v>
      </c>
      <c r="D2514" s="8">
        <v>354.74</v>
      </c>
    </row>
    <row r="2515" spans="1:4" x14ac:dyDescent="0.45">
      <c r="A2515" s="7">
        <v>46022</v>
      </c>
      <c r="B2515" t="s">
        <v>95</v>
      </c>
      <c r="C2515" t="s">
        <v>99</v>
      </c>
      <c r="D2515" s="8">
        <v>130.5</v>
      </c>
    </row>
    <row r="2516" spans="1:4" x14ac:dyDescent="0.45">
      <c r="A2516" s="7">
        <v>45726</v>
      </c>
      <c r="B2516" t="s">
        <v>95</v>
      </c>
      <c r="C2516" t="s">
        <v>102</v>
      </c>
      <c r="D2516" s="8">
        <v>-4.63</v>
      </c>
    </row>
    <row r="2517" spans="1:4" x14ac:dyDescent="0.45">
      <c r="A2517" s="7">
        <v>46037</v>
      </c>
      <c r="B2517" t="s">
        <v>93</v>
      </c>
      <c r="C2517" t="s">
        <v>94</v>
      </c>
      <c r="D2517" s="8">
        <v>426.85</v>
      </c>
    </row>
    <row r="2518" spans="1:4" x14ac:dyDescent="0.45">
      <c r="A2518" s="7">
        <v>45858</v>
      </c>
      <c r="B2518" t="s">
        <v>93</v>
      </c>
      <c r="C2518" t="s">
        <v>100</v>
      </c>
      <c r="D2518" s="8">
        <v>437.47</v>
      </c>
    </row>
    <row r="2519" spans="1:4" x14ac:dyDescent="0.45">
      <c r="A2519" s="7">
        <v>46050</v>
      </c>
      <c r="B2519" t="s">
        <v>95</v>
      </c>
      <c r="C2519" t="s">
        <v>109</v>
      </c>
      <c r="D2519" s="8">
        <v>458.08</v>
      </c>
    </row>
    <row r="2520" spans="1:4" x14ac:dyDescent="0.45">
      <c r="A2520" s="7">
        <v>45458</v>
      </c>
      <c r="B2520" t="s">
        <v>97</v>
      </c>
      <c r="C2520" t="s">
        <v>101</v>
      </c>
      <c r="D2520" s="8">
        <v>138.83000000000001</v>
      </c>
    </row>
    <row r="2521" spans="1:4" x14ac:dyDescent="0.45">
      <c r="A2521" s="7">
        <v>45669</v>
      </c>
      <c r="B2521" t="s">
        <v>95</v>
      </c>
      <c r="C2521" t="s">
        <v>96</v>
      </c>
      <c r="D2521" s="8">
        <v>-114.74</v>
      </c>
    </row>
    <row r="2522" spans="1:4" x14ac:dyDescent="0.45">
      <c r="A2522" s="7">
        <v>46173</v>
      </c>
      <c r="B2522" t="s">
        <v>95</v>
      </c>
      <c r="C2522" t="s">
        <v>102</v>
      </c>
      <c r="D2522" s="8">
        <v>-99.07</v>
      </c>
    </row>
    <row r="2523" spans="1:4" x14ac:dyDescent="0.45">
      <c r="A2523" s="7">
        <v>45885</v>
      </c>
      <c r="B2523" t="s">
        <v>95</v>
      </c>
      <c r="C2523" t="s">
        <v>96</v>
      </c>
      <c r="D2523" s="8">
        <v>301.77999999999997</v>
      </c>
    </row>
    <row r="2524" spans="1:4" x14ac:dyDescent="0.45">
      <c r="A2524" s="7">
        <v>46016</v>
      </c>
      <c r="B2524" t="s">
        <v>97</v>
      </c>
      <c r="C2524" t="s">
        <v>107</v>
      </c>
      <c r="D2524" s="8">
        <v>456.04</v>
      </c>
    </row>
    <row r="2525" spans="1:4" x14ac:dyDescent="0.45">
      <c r="A2525" s="7">
        <v>45776</v>
      </c>
      <c r="B2525" t="s">
        <v>95</v>
      </c>
      <c r="C2525" t="s">
        <v>108</v>
      </c>
      <c r="D2525" s="8">
        <v>264.93</v>
      </c>
    </row>
    <row r="2526" spans="1:4" x14ac:dyDescent="0.45">
      <c r="A2526" s="7">
        <v>45655</v>
      </c>
      <c r="B2526" t="s">
        <v>97</v>
      </c>
      <c r="C2526" t="s">
        <v>101</v>
      </c>
      <c r="D2526" s="8">
        <v>93.69</v>
      </c>
    </row>
    <row r="2527" spans="1:4" x14ac:dyDescent="0.45">
      <c r="A2527" s="7">
        <v>46079</v>
      </c>
      <c r="B2527" t="s">
        <v>93</v>
      </c>
      <c r="C2527" t="s">
        <v>100</v>
      </c>
      <c r="D2527" s="8">
        <v>189.71</v>
      </c>
    </row>
    <row r="2528" spans="1:4" x14ac:dyDescent="0.45">
      <c r="A2528" s="7">
        <v>45728</v>
      </c>
      <c r="B2528" t="s">
        <v>93</v>
      </c>
      <c r="C2528" t="s">
        <v>106</v>
      </c>
      <c r="D2528" s="8">
        <v>130.05000000000001</v>
      </c>
    </row>
    <row r="2529" spans="1:4" x14ac:dyDescent="0.45">
      <c r="A2529" s="7">
        <v>45548</v>
      </c>
      <c r="B2529" t="s">
        <v>93</v>
      </c>
      <c r="C2529" t="s">
        <v>94</v>
      </c>
      <c r="D2529" s="8">
        <v>28.89</v>
      </c>
    </row>
    <row r="2530" spans="1:4" x14ac:dyDescent="0.45">
      <c r="A2530" s="7">
        <v>45379</v>
      </c>
      <c r="B2530" t="s">
        <v>93</v>
      </c>
      <c r="C2530" t="s">
        <v>103</v>
      </c>
      <c r="D2530" s="8">
        <v>297.01</v>
      </c>
    </row>
    <row r="2531" spans="1:4" x14ac:dyDescent="0.45">
      <c r="A2531" s="7">
        <v>45650</v>
      </c>
      <c r="B2531" t="s">
        <v>93</v>
      </c>
      <c r="C2531" t="s">
        <v>106</v>
      </c>
      <c r="D2531" s="8">
        <v>-59.66</v>
      </c>
    </row>
    <row r="2532" spans="1:4" x14ac:dyDescent="0.45">
      <c r="A2532" s="7">
        <v>46189</v>
      </c>
      <c r="B2532" t="s">
        <v>93</v>
      </c>
      <c r="C2532" t="s">
        <v>103</v>
      </c>
      <c r="D2532" s="8">
        <v>283.10000000000002</v>
      </c>
    </row>
    <row r="2533" spans="1:4" x14ac:dyDescent="0.45">
      <c r="A2533" s="7">
        <v>45845</v>
      </c>
      <c r="B2533" t="s">
        <v>97</v>
      </c>
      <c r="C2533" t="s">
        <v>101</v>
      </c>
      <c r="D2533" s="8">
        <v>81.99</v>
      </c>
    </row>
    <row r="2534" spans="1:4" x14ac:dyDescent="0.45">
      <c r="A2534" s="7">
        <v>45638</v>
      </c>
      <c r="B2534" t="s">
        <v>93</v>
      </c>
      <c r="C2534" t="s">
        <v>106</v>
      </c>
      <c r="D2534" s="8">
        <v>141.63999999999999</v>
      </c>
    </row>
    <row r="2535" spans="1:4" x14ac:dyDescent="0.45">
      <c r="A2535" s="7">
        <v>45404</v>
      </c>
      <c r="B2535" t="s">
        <v>97</v>
      </c>
      <c r="C2535" t="s">
        <v>107</v>
      </c>
      <c r="D2535" s="8">
        <v>241.29</v>
      </c>
    </row>
    <row r="2536" spans="1:4" x14ac:dyDescent="0.45">
      <c r="A2536" s="7">
        <v>45446</v>
      </c>
      <c r="B2536" t="s">
        <v>95</v>
      </c>
      <c r="C2536" t="s">
        <v>102</v>
      </c>
      <c r="D2536" s="8">
        <v>313.83999999999997</v>
      </c>
    </row>
    <row r="2537" spans="1:4" x14ac:dyDescent="0.45">
      <c r="A2537" s="7">
        <v>45680</v>
      </c>
      <c r="B2537" t="s">
        <v>97</v>
      </c>
      <c r="C2537" t="s">
        <v>104</v>
      </c>
      <c r="D2537" s="8">
        <v>215.23</v>
      </c>
    </row>
    <row r="2538" spans="1:4" x14ac:dyDescent="0.45">
      <c r="A2538" s="7">
        <v>46184</v>
      </c>
      <c r="B2538" t="s">
        <v>93</v>
      </c>
      <c r="C2538" t="s">
        <v>94</v>
      </c>
      <c r="D2538" s="8">
        <v>17.16</v>
      </c>
    </row>
    <row r="2539" spans="1:4" x14ac:dyDescent="0.45">
      <c r="A2539" s="7">
        <v>45706</v>
      </c>
      <c r="B2539" t="s">
        <v>95</v>
      </c>
      <c r="C2539" t="s">
        <v>105</v>
      </c>
      <c r="D2539" s="8">
        <v>22.46</v>
      </c>
    </row>
    <row r="2540" spans="1:4" x14ac:dyDescent="0.45">
      <c r="A2540" s="7">
        <v>46045</v>
      </c>
      <c r="B2540" t="s">
        <v>97</v>
      </c>
      <c r="C2540" t="s">
        <v>107</v>
      </c>
      <c r="D2540" s="8">
        <v>95.04</v>
      </c>
    </row>
    <row r="2541" spans="1:4" x14ac:dyDescent="0.45">
      <c r="A2541" s="7">
        <v>45870</v>
      </c>
      <c r="B2541" t="s">
        <v>93</v>
      </c>
      <c r="C2541" t="s">
        <v>103</v>
      </c>
      <c r="D2541" s="8">
        <v>347.69</v>
      </c>
    </row>
    <row r="2542" spans="1:4" x14ac:dyDescent="0.45">
      <c r="A2542" s="7">
        <v>46099</v>
      </c>
      <c r="B2542" t="s">
        <v>97</v>
      </c>
      <c r="C2542" t="s">
        <v>98</v>
      </c>
      <c r="D2542" s="8">
        <v>144.34</v>
      </c>
    </row>
    <row r="2543" spans="1:4" x14ac:dyDescent="0.45">
      <c r="A2543" s="7">
        <v>45638</v>
      </c>
      <c r="B2543" t="s">
        <v>95</v>
      </c>
      <c r="C2543" t="s">
        <v>96</v>
      </c>
      <c r="D2543" s="8">
        <v>475.59</v>
      </c>
    </row>
    <row r="2544" spans="1:4" x14ac:dyDescent="0.45">
      <c r="A2544" s="7">
        <v>45397</v>
      </c>
      <c r="B2544" t="s">
        <v>93</v>
      </c>
      <c r="C2544" t="s">
        <v>100</v>
      </c>
      <c r="D2544" s="8">
        <v>86.75</v>
      </c>
    </row>
    <row r="2545" spans="1:4" x14ac:dyDescent="0.45">
      <c r="A2545" s="7">
        <v>45371</v>
      </c>
      <c r="B2545" t="s">
        <v>95</v>
      </c>
      <c r="C2545" t="s">
        <v>99</v>
      </c>
      <c r="D2545" s="8">
        <v>380.15</v>
      </c>
    </row>
    <row r="2546" spans="1:4" x14ac:dyDescent="0.45">
      <c r="A2546" s="7">
        <v>45589</v>
      </c>
      <c r="B2546" t="s">
        <v>95</v>
      </c>
      <c r="C2546" t="s">
        <v>105</v>
      </c>
      <c r="D2546" s="8">
        <v>476.83</v>
      </c>
    </row>
    <row r="2547" spans="1:4" x14ac:dyDescent="0.45">
      <c r="A2547" s="7">
        <v>45838</v>
      </c>
      <c r="B2547" t="s">
        <v>93</v>
      </c>
      <c r="C2547" t="s">
        <v>106</v>
      </c>
      <c r="D2547" s="8">
        <v>379.86</v>
      </c>
    </row>
    <row r="2548" spans="1:4" x14ac:dyDescent="0.45">
      <c r="A2548" s="7">
        <v>45914</v>
      </c>
      <c r="B2548" t="s">
        <v>97</v>
      </c>
      <c r="C2548" t="s">
        <v>107</v>
      </c>
      <c r="D2548" s="8">
        <v>-77.540000000000006</v>
      </c>
    </row>
    <row r="2549" spans="1:4" x14ac:dyDescent="0.45">
      <c r="A2549" s="7">
        <v>46033</v>
      </c>
      <c r="B2549" t="s">
        <v>95</v>
      </c>
      <c r="C2549" t="s">
        <v>99</v>
      </c>
      <c r="D2549" s="8">
        <v>-126.44</v>
      </c>
    </row>
    <row r="2550" spans="1:4" x14ac:dyDescent="0.45">
      <c r="A2550" s="7">
        <v>45491</v>
      </c>
      <c r="B2550" t="s">
        <v>95</v>
      </c>
      <c r="C2550" t="s">
        <v>99</v>
      </c>
      <c r="D2550" s="8">
        <v>392.56</v>
      </c>
    </row>
    <row r="2551" spans="1:4" x14ac:dyDescent="0.45">
      <c r="A2551" s="7">
        <v>45845</v>
      </c>
      <c r="B2551" t="s">
        <v>97</v>
      </c>
      <c r="C2551" t="s">
        <v>98</v>
      </c>
      <c r="D2551" s="8">
        <v>24.98</v>
      </c>
    </row>
    <row r="2552" spans="1:4" x14ac:dyDescent="0.45">
      <c r="A2552" s="7">
        <v>45961</v>
      </c>
      <c r="B2552" t="s">
        <v>93</v>
      </c>
      <c r="C2552" t="s">
        <v>106</v>
      </c>
      <c r="D2552" s="8">
        <v>334.63</v>
      </c>
    </row>
    <row r="2553" spans="1:4" x14ac:dyDescent="0.45">
      <c r="A2553" s="7">
        <v>45481</v>
      </c>
      <c r="B2553" t="s">
        <v>95</v>
      </c>
      <c r="C2553" t="s">
        <v>102</v>
      </c>
      <c r="D2553" s="8">
        <v>434.15</v>
      </c>
    </row>
    <row r="2554" spans="1:4" x14ac:dyDescent="0.45">
      <c r="A2554" s="7">
        <v>45333</v>
      </c>
      <c r="B2554" t="s">
        <v>93</v>
      </c>
      <c r="C2554" t="s">
        <v>103</v>
      </c>
      <c r="D2554" s="8">
        <v>425.1</v>
      </c>
    </row>
    <row r="2555" spans="1:4" x14ac:dyDescent="0.45">
      <c r="A2555" s="7">
        <v>46001</v>
      </c>
      <c r="B2555" t="s">
        <v>93</v>
      </c>
      <c r="C2555" t="s">
        <v>100</v>
      </c>
      <c r="D2555" s="8">
        <v>341.29</v>
      </c>
    </row>
    <row r="2556" spans="1:4" x14ac:dyDescent="0.45">
      <c r="A2556" s="7">
        <v>45881</v>
      </c>
      <c r="B2556" t="s">
        <v>97</v>
      </c>
      <c r="C2556" t="s">
        <v>98</v>
      </c>
      <c r="D2556" s="8">
        <v>73.97</v>
      </c>
    </row>
    <row r="2557" spans="1:4" x14ac:dyDescent="0.45">
      <c r="A2557" s="7">
        <v>45383</v>
      </c>
      <c r="B2557" t="s">
        <v>95</v>
      </c>
      <c r="C2557" t="s">
        <v>109</v>
      </c>
      <c r="D2557" s="8">
        <v>348.68</v>
      </c>
    </row>
    <row r="2558" spans="1:4" x14ac:dyDescent="0.45">
      <c r="A2558" s="7">
        <v>45331</v>
      </c>
      <c r="B2558" t="s">
        <v>97</v>
      </c>
      <c r="C2558" t="s">
        <v>104</v>
      </c>
      <c r="D2558" s="8">
        <v>139.91999999999999</v>
      </c>
    </row>
    <row r="2559" spans="1:4" x14ac:dyDescent="0.45">
      <c r="A2559" s="7">
        <v>45888</v>
      </c>
      <c r="B2559" t="s">
        <v>97</v>
      </c>
      <c r="C2559" t="s">
        <v>104</v>
      </c>
      <c r="D2559" s="8">
        <v>-51.08</v>
      </c>
    </row>
    <row r="2560" spans="1:4" x14ac:dyDescent="0.45">
      <c r="A2560" s="7">
        <v>45718</v>
      </c>
      <c r="B2560" t="s">
        <v>93</v>
      </c>
      <c r="C2560" t="s">
        <v>103</v>
      </c>
      <c r="D2560" s="8">
        <v>482.77</v>
      </c>
    </row>
    <row r="2561" spans="1:4" x14ac:dyDescent="0.45">
      <c r="A2561" s="7">
        <v>45409</v>
      </c>
      <c r="B2561" t="s">
        <v>95</v>
      </c>
      <c r="C2561" t="s">
        <v>108</v>
      </c>
      <c r="D2561" s="8">
        <v>220.23</v>
      </c>
    </row>
    <row r="2562" spans="1:4" x14ac:dyDescent="0.45">
      <c r="A2562" s="7">
        <v>45404</v>
      </c>
      <c r="B2562" t="s">
        <v>93</v>
      </c>
      <c r="C2562" t="s">
        <v>94</v>
      </c>
      <c r="D2562" s="8">
        <v>345.03</v>
      </c>
    </row>
    <row r="2563" spans="1:4" x14ac:dyDescent="0.45">
      <c r="A2563" s="7">
        <v>45331</v>
      </c>
      <c r="B2563" t="s">
        <v>95</v>
      </c>
      <c r="C2563" t="s">
        <v>99</v>
      </c>
      <c r="D2563" s="8">
        <v>449.75</v>
      </c>
    </row>
    <row r="2564" spans="1:4" x14ac:dyDescent="0.45">
      <c r="A2564" s="7">
        <v>46157</v>
      </c>
      <c r="B2564" t="s">
        <v>97</v>
      </c>
      <c r="C2564" t="s">
        <v>104</v>
      </c>
      <c r="D2564" s="8">
        <v>34</v>
      </c>
    </row>
    <row r="2565" spans="1:4" x14ac:dyDescent="0.45">
      <c r="A2565" s="7">
        <v>45704</v>
      </c>
      <c r="B2565" t="s">
        <v>93</v>
      </c>
      <c r="C2565" t="s">
        <v>103</v>
      </c>
      <c r="D2565" s="8">
        <v>-15.36</v>
      </c>
    </row>
    <row r="2566" spans="1:4" x14ac:dyDescent="0.45">
      <c r="A2566" s="7">
        <v>45987</v>
      </c>
      <c r="B2566" t="s">
        <v>93</v>
      </c>
      <c r="C2566" t="s">
        <v>100</v>
      </c>
      <c r="D2566" s="8">
        <v>494.84</v>
      </c>
    </row>
    <row r="2567" spans="1:4" x14ac:dyDescent="0.45">
      <c r="A2567" s="7">
        <v>45515</v>
      </c>
      <c r="B2567" t="s">
        <v>95</v>
      </c>
      <c r="C2567" t="s">
        <v>105</v>
      </c>
      <c r="D2567" s="8">
        <v>305.29000000000002</v>
      </c>
    </row>
    <row r="2568" spans="1:4" x14ac:dyDescent="0.45">
      <c r="A2568" s="7">
        <v>45601</v>
      </c>
      <c r="B2568" t="s">
        <v>93</v>
      </c>
      <c r="C2568" t="s">
        <v>106</v>
      </c>
      <c r="D2568" s="8">
        <v>144.94</v>
      </c>
    </row>
    <row r="2569" spans="1:4" x14ac:dyDescent="0.45">
      <c r="A2569" s="7">
        <v>45772</v>
      </c>
      <c r="B2569" t="s">
        <v>97</v>
      </c>
      <c r="C2569" t="s">
        <v>101</v>
      </c>
      <c r="D2569" s="8">
        <v>327.29000000000002</v>
      </c>
    </row>
    <row r="2570" spans="1:4" x14ac:dyDescent="0.45">
      <c r="A2570" s="7">
        <v>45381</v>
      </c>
      <c r="B2570" t="s">
        <v>97</v>
      </c>
      <c r="C2570" t="s">
        <v>101</v>
      </c>
      <c r="D2570" s="8">
        <v>246.44</v>
      </c>
    </row>
    <row r="2571" spans="1:4" x14ac:dyDescent="0.45">
      <c r="A2571" s="7">
        <v>45308</v>
      </c>
      <c r="B2571" t="s">
        <v>95</v>
      </c>
      <c r="C2571" t="s">
        <v>109</v>
      </c>
      <c r="D2571" s="8">
        <v>87.6</v>
      </c>
    </row>
    <row r="2572" spans="1:4" x14ac:dyDescent="0.45">
      <c r="A2572" s="7">
        <v>46020</v>
      </c>
      <c r="B2572" t="s">
        <v>97</v>
      </c>
      <c r="C2572" t="s">
        <v>101</v>
      </c>
      <c r="D2572" s="8">
        <v>201.2</v>
      </c>
    </row>
    <row r="2573" spans="1:4" x14ac:dyDescent="0.45">
      <c r="A2573" s="7">
        <v>45648</v>
      </c>
      <c r="B2573" t="s">
        <v>95</v>
      </c>
      <c r="C2573" t="s">
        <v>109</v>
      </c>
      <c r="D2573" s="8">
        <v>22.05</v>
      </c>
    </row>
    <row r="2574" spans="1:4" x14ac:dyDescent="0.45">
      <c r="A2574" s="7">
        <v>45771</v>
      </c>
      <c r="B2574" t="s">
        <v>95</v>
      </c>
      <c r="C2574" t="s">
        <v>105</v>
      </c>
      <c r="D2574" s="8">
        <v>19.21</v>
      </c>
    </row>
    <row r="2575" spans="1:4" x14ac:dyDescent="0.45">
      <c r="A2575" s="7">
        <v>45782</v>
      </c>
      <c r="B2575" t="s">
        <v>97</v>
      </c>
      <c r="C2575" t="s">
        <v>98</v>
      </c>
      <c r="D2575" s="8">
        <v>318.06</v>
      </c>
    </row>
    <row r="2576" spans="1:4" x14ac:dyDescent="0.45">
      <c r="A2576" s="7">
        <v>45357</v>
      </c>
      <c r="B2576" t="s">
        <v>93</v>
      </c>
      <c r="C2576" t="s">
        <v>103</v>
      </c>
      <c r="D2576" s="8">
        <v>368.41</v>
      </c>
    </row>
    <row r="2577" spans="1:4" x14ac:dyDescent="0.45">
      <c r="A2577" s="7">
        <v>45441</v>
      </c>
      <c r="B2577" t="s">
        <v>95</v>
      </c>
      <c r="C2577" t="s">
        <v>108</v>
      </c>
      <c r="D2577" s="8">
        <v>429.32</v>
      </c>
    </row>
    <row r="2578" spans="1:4" x14ac:dyDescent="0.45">
      <c r="A2578" s="7">
        <v>45417</v>
      </c>
      <c r="B2578" t="s">
        <v>97</v>
      </c>
      <c r="C2578" t="s">
        <v>98</v>
      </c>
      <c r="D2578" s="8">
        <v>377.43</v>
      </c>
    </row>
    <row r="2579" spans="1:4" x14ac:dyDescent="0.45">
      <c r="A2579" s="7">
        <v>46102</v>
      </c>
      <c r="B2579" t="s">
        <v>95</v>
      </c>
      <c r="C2579" t="s">
        <v>102</v>
      </c>
      <c r="D2579" s="8">
        <v>171.63</v>
      </c>
    </row>
    <row r="2580" spans="1:4" x14ac:dyDescent="0.45">
      <c r="A2580" s="7">
        <v>45517</v>
      </c>
      <c r="B2580" t="s">
        <v>95</v>
      </c>
      <c r="C2580" t="s">
        <v>99</v>
      </c>
      <c r="D2580" s="8">
        <v>453.06</v>
      </c>
    </row>
    <row r="2581" spans="1:4" x14ac:dyDescent="0.45">
      <c r="A2581" s="7">
        <v>45580</v>
      </c>
      <c r="B2581" t="s">
        <v>93</v>
      </c>
      <c r="C2581" t="s">
        <v>100</v>
      </c>
      <c r="D2581" s="8">
        <v>36.51</v>
      </c>
    </row>
    <row r="2582" spans="1:4" x14ac:dyDescent="0.45">
      <c r="A2582" s="7">
        <v>46118</v>
      </c>
      <c r="B2582" t="s">
        <v>97</v>
      </c>
      <c r="C2582" t="s">
        <v>104</v>
      </c>
      <c r="D2582" s="8">
        <v>433.71</v>
      </c>
    </row>
    <row r="2583" spans="1:4" x14ac:dyDescent="0.45">
      <c r="A2583" s="7">
        <v>45628</v>
      </c>
      <c r="B2583" t="s">
        <v>97</v>
      </c>
      <c r="C2583" t="s">
        <v>98</v>
      </c>
      <c r="D2583" s="8">
        <v>80.709999999999994</v>
      </c>
    </row>
    <row r="2584" spans="1:4" x14ac:dyDescent="0.45">
      <c r="A2584" s="7">
        <v>46054</v>
      </c>
      <c r="B2584" t="s">
        <v>97</v>
      </c>
      <c r="C2584" t="s">
        <v>98</v>
      </c>
      <c r="D2584" s="8">
        <v>101.63</v>
      </c>
    </row>
    <row r="2585" spans="1:4" x14ac:dyDescent="0.45">
      <c r="A2585" s="7">
        <v>46025</v>
      </c>
      <c r="B2585" t="s">
        <v>95</v>
      </c>
      <c r="C2585" t="s">
        <v>102</v>
      </c>
      <c r="D2585" s="8">
        <v>-22.32</v>
      </c>
    </row>
    <row r="2586" spans="1:4" x14ac:dyDescent="0.45">
      <c r="A2586" s="7">
        <v>46146</v>
      </c>
      <c r="B2586" t="s">
        <v>93</v>
      </c>
      <c r="C2586" t="s">
        <v>106</v>
      </c>
      <c r="D2586" s="8">
        <v>443.85</v>
      </c>
    </row>
    <row r="2587" spans="1:4" x14ac:dyDescent="0.45">
      <c r="A2587" s="7">
        <v>46020</v>
      </c>
      <c r="B2587" t="s">
        <v>93</v>
      </c>
      <c r="C2587" t="s">
        <v>100</v>
      </c>
      <c r="D2587" s="8">
        <v>318.97000000000003</v>
      </c>
    </row>
    <row r="2588" spans="1:4" x14ac:dyDescent="0.45">
      <c r="A2588" s="7">
        <v>45842</v>
      </c>
      <c r="B2588" t="s">
        <v>95</v>
      </c>
      <c r="C2588" t="s">
        <v>96</v>
      </c>
      <c r="D2588" s="8">
        <v>-135.44</v>
      </c>
    </row>
    <row r="2589" spans="1:4" x14ac:dyDescent="0.45">
      <c r="A2589" s="7">
        <v>45662</v>
      </c>
      <c r="B2589" t="s">
        <v>95</v>
      </c>
      <c r="C2589" t="s">
        <v>109</v>
      </c>
      <c r="D2589" s="8">
        <v>-9.9</v>
      </c>
    </row>
    <row r="2590" spans="1:4" x14ac:dyDescent="0.45">
      <c r="A2590" s="7">
        <v>45548</v>
      </c>
      <c r="B2590" t="s">
        <v>93</v>
      </c>
      <c r="C2590" t="s">
        <v>103</v>
      </c>
      <c r="D2590" s="8">
        <v>246.16</v>
      </c>
    </row>
    <row r="2591" spans="1:4" x14ac:dyDescent="0.45">
      <c r="A2591" s="7">
        <v>45433</v>
      </c>
      <c r="B2591" t="s">
        <v>95</v>
      </c>
      <c r="C2591" t="s">
        <v>102</v>
      </c>
      <c r="D2591" s="8">
        <v>57.16</v>
      </c>
    </row>
    <row r="2592" spans="1:4" x14ac:dyDescent="0.45">
      <c r="A2592" s="7">
        <v>45671</v>
      </c>
      <c r="B2592" t="s">
        <v>95</v>
      </c>
      <c r="C2592" t="s">
        <v>109</v>
      </c>
      <c r="D2592" s="8">
        <v>101.9</v>
      </c>
    </row>
    <row r="2593" spans="1:4" x14ac:dyDescent="0.45">
      <c r="A2593" s="7">
        <v>45519</v>
      </c>
      <c r="B2593" t="s">
        <v>97</v>
      </c>
      <c r="C2593" t="s">
        <v>101</v>
      </c>
      <c r="D2593" s="8">
        <v>-25.29</v>
      </c>
    </row>
    <row r="2594" spans="1:4" x14ac:dyDescent="0.45">
      <c r="A2594" s="7">
        <v>45324</v>
      </c>
      <c r="B2594" t="s">
        <v>97</v>
      </c>
      <c r="C2594" t="s">
        <v>101</v>
      </c>
      <c r="D2594" s="8">
        <v>-67.06</v>
      </c>
    </row>
    <row r="2595" spans="1:4" x14ac:dyDescent="0.45">
      <c r="A2595" s="7">
        <v>45414</v>
      </c>
      <c r="B2595" t="s">
        <v>97</v>
      </c>
      <c r="C2595" t="s">
        <v>107</v>
      </c>
      <c r="D2595" s="8">
        <v>-137.1</v>
      </c>
    </row>
    <row r="2596" spans="1:4" x14ac:dyDescent="0.45">
      <c r="A2596" s="7">
        <v>45406</v>
      </c>
      <c r="B2596" t="s">
        <v>95</v>
      </c>
      <c r="C2596" t="s">
        <v>105</v>
      </c>
      <c r="D2596" s="8">
        <v>228.32</v>
      </c>
    </row>
    <row r="2597" spans="1:4" x14ac:dyDescent="0.45">
      <c r="A2597" s="7">
        <v>45736</v>
      </c>
      <c r="B2597" t="s">
        <v>95</v>
      </c>
      <c r="C2597" t="s">
        <v>109</v>
      </c>
      <c r="D2597" s="8">
        <v>-33.97</v>
      </c>
    </row>
    <row r="2598" spans="1:4" x14ac:dyDescent="0.45">
      <c r="A2598" s="7">
        <v>45788</v>
      </c>
      <c r="B2598" t="s">
        <v>95</v>
      </c>
      <c r="C2598" t="s">
        <v>108</v>
      </c>
      <c r="D2598" s="8">
        <v>325.01</v>
      </c>
    </row>
    <row r="2599" spans="1:4" x14ac:dyDescent="0.45">
      <c r="A2599" s="7">
        <v>46022</v>
      </c>
      <c r="B2599" t="s">
        <v>95</v>
      </c>
      <c r="C2599" t="s">
        <v>96</v>
      </c>
      <c r="D2599" s="8">
        <v>-82.76</v>
      </c>
    </row>
    <row r="2600" spans="1:4" x14ac:dyDescent="0.45">
      <c r="A2600" s="7">
        <v>45709</v>
      </c>
      <c r="B2600" t="s">
        <v>95</v>
      </c>
      <c r="C2600" t="s">
        <v>108</v>
      </c>
      <c r="D2600" s="8">
        <v>228.12</v>
      </c>
    </row>
    <row r="2601" spans="1:4" x14ac:dyDescent="0.45">
      <c r="A2601" s="7">
        <v>45390</v>
      </c>
      <c r="B2601" t="s">
        <v>97</v>
      </c>
      <c r="C2601" t="s">
        <v>98</v>
      </c>
      <c r="D2601" s="8">
        <v>-12.66</v>
      </c>
    </row>
    <row r="2602" spans="1:4" x14ac:dyDescent="0.45">
      <c r="A2602" s="7">
        <v>45517</v>
      </c>
      <c r="B2602" t="s">
        <v>93</v>
      </c>
      <c r="C2602" t="s">
        <v>106</v>
      </c>
      <c r="D2602" s="8">
        <v>345.75</v>
      </c>
    </row>
    <row r="2603" spans="1:4" x14ac:dyDescent="0.45">
      <c r="A2603" s="7">
        <v>45362</v>
      </c>
      <c r="B2603" t="s">
        <v>93</v>
      </c>
      <c r="C2603" t="s">
        <v>103</v>
      </c>
      <c r="D2603" s="8">
        <v>427.45</v>
      </c>
    </row>
    <row r="2604" spans="1:4" x14ac:dyDescent="0.45">
      <c r="A2604" s="7">
        <v>45808</v>
      </c>
      <c r="B2604" t="s">
        <v>97</v>
      </c>
      <c r="C2604" t="s">
        <v>98</v>
      </c>
      <c r="D2604" s="8">
        <v>88.92</v>
      </c>
    </row>
    <row r="2605" spans="1:4" x14ac:dyDescent="0.45">
      <c r="A2605" s="7">
        <v>45805</v>
      </c>
      <c r="B2605" t="s">
        <v>97</v>
      </c>
      <c r="C2605" t="s">
        <v>101</v>
      </c>
      <c r="D2605" s="8">
        <v>155.03</v>
      </c>
    </row>
    <row r="2606" spans="1:4" x14ac:dyDescent="0.45">
      <c r="A2606" s="7">
        <v>45314</v>
      </c>
      <c r="B2606" t="s">
        <v>97</v>
      </c>
      <c r="C2606" t="s">
        <v>107</v>
      </c>
      <c r="D2606" s="8">
        <v>177.16</v>
      </c>
    </row>
    <row r="2607" spans="1:4" x14ac:dyDescent="0.45">
      <c r="A2607" s="7">
        <v>45596</v>
      </c>
      <c r="B2607" t="s">
        <v>93</v>
      </c>
      <c r="C2607" t="s">
        <v>103</v>
      </c>
      <c r="D2607" s="8">
        <v>185.82</v>
      </c>
    </row>
    <row r="2608" spans="1:4" x14ac:dyDescent="0.45">
      <c r="A2608" s="7">
        <v>46051</v>
      </c>
      <c r="B2608" t="s">
        <v>95</v>
      </c>
      <c r="C2608" t="s">
        <v>105</v>
      </c>
      <c r="D2608" s="8">
        <v>-63.4</v>
      </c>
    </row>
    <row r="2609" spans="1:4" x14ac:dyDescent="0.45">
      <c r="A2609" s="7">
        <v>45729</v>
      </c>
      <c r="B2609" t="s">
        <v>95</v>
      </c>
      <c r="C2609" t="s">
        <v>109</v>
      </c>
      <c r="D2609" s="8">
        <v>13.29</v>
      </c>
    </row>
    <row r="2610" spans="1:4" x14ac:dyDescent="0.45">
      <c r="A2610" s="7">
        <v>45752</v>
      </c>
      <c r="B2610" t="s">
        <v>95</v>
      </c>
      <c r="C2610" t="s">
        <v>108</v>
      </c>
      <c r="D2610" s="8">
        <v>143.74</v>
      </c>
    </row>
    <row r="2611" spans="1:4" x14ac:dyDescent="0.45">
      <c r="A2611" s="7">
        <v>45813</v>
      </c>
      <c r="B2611" t="s">
        <v>97</v>
      </c>
      <c r="C2611" t="s">
        <v>104</v>
      </c>
      <c r="D2611" s="8">
        <v>3.94</v>
      </c>
    </row>
    <row r="2612" spans="1:4" x14ac:dyDescent="0.45">
      <c r="A2612" s="7">
        <v>46143</v>
      </c>
      <c r="B2612" t="s">
        <v>93</v>
      </c>
      <c r="C2612" t="s">
        <v>103</v>
      </c>
      <c r="D2612" s="8">
        <v>413.47</v>
      </c>
    </row>
    <row r="2613" spans="1:4" x14ac:dyDescent="0.45">
      <c r="A2613" s="7">
        <v>45642</v>
      </c>
      <c r="B2613" t="s">
        <v>95</v>
      </c>
      <c r="C2613" t="s">
        <v>109</v>
      </c>
      <c r="D2613" s="8">
        <v>-116.3</v>
      </c>
    </row>
    <row r="2614" spans="1:4" x14ac:dyDescent="0.45">
      <c r="A2614" s="7">
        <v>45489</v>
      </c>
      <c r="B2614" t="s">
        <v>95</v>
      </c>
      <c r="C2614" t="s">
        <v>99</v>
      </c>
      <c r="D2614" s="8">
        <v>59.3</v>
      </c>
    </row>
    <row r="2615" spans="1:4" x14ac:dyDescent="0.45">
      <c r="A2615" s="7">
        <v>46132</v>
      </c>
      <c r="B2615" t="s">
        <v>93</v>
      </c>
      <c r="C2615" t="s">
        <v>100</v>
      </c>
      <c r="D2615" s="8">
        <v>487.59</v>
      </c>
    </row>
    <row r="2616" spans="1:4" x14ac:dyDescent="0.45">
      <c r="A2616" s="7">
        <v>45680</v>
      </c>
      <c r="B2616" t="s">
        <v>95</v>
      </c>
      <c r="C2616" t="s">
        <v>108</v>
      </c>
      <c r="D2616" s="8">
        <v>478.27</v>
      </c>
    </row>
    <row r="2617" spans="1:4" x14ac:dyDescent="0.45">
      <c r="A2617" s="7">
        <v>46067</v>
      </c>
      <c r="B2617" t="s">
        <v>95</v>
      </c>
      <c r="C2617" t="s">
        <v>96</v>
      </c>
      <c r="D2617" s="8">
        <v>24.82</v>
      </c>
    </row>
    <row r="2618" spans="1:4" x14ac:dyDescent="0.45">
      <c r="A2618" s="7">
        <v>45300</v>
      </c>
      <c r="B2618" t="s">
        <v>93</v>
      </c>
      <c r="C2618" t="s">
        <v>106</v>
      </c>
      <c r="D2618" s="8">
        <v>329.2</v>
      </c>
    </row>
    <row r="2619" spans="1:4" x14ac:dyDescent="0.45">
      <c r="A2619" s="7">
        <v>45835</v>
      </c>
      <c r="B2619" t="s">
        <v>95</v>
      </c>
      <c r="C2619" t="s">
        <v>108</v>
      </c>
      <c r="D2619" s="8">
        <v>436.94</v>
      </c>
    </row>
    <row r="2620" spans="1:4" x14ac:dyDescent="0.45">
      <c r="A2620" s="7">
        <v>45562</v>
      </c>
      <c r="B2620" t="s">
        <v>97</v>
      </c>
      <c r="C2620" t="s">
        <v>101</v>
      </c>
      <c r="D2620" s="8">
        <v>-132.12</v>
      </c>
    </row>
    <row r="2621" spans="1:4" x14ac:dyDescent="0.45">
      <c r="A2621" s="7">
        <v>45496</v>
      </c>
      <c r="B2621" t="s">
        <v>97</v>
      </c>
      <c r="C2621" t="s">
        <v>101</v>
      </c>
      <c r="D2621" s="8">
        <v>-133.32</v>
      </c>
    </row>
    <row r="2622" spans="1:4" x14ac:dyDescent="0.45">
      <c r="A2622" s="7">
        <v>45907</v>
      </c>
      <c r="B2622" t="s">
        <v>93</v>
      </c>
      <c r="C2622" t="s">
        <v>103</v>
      </c>
      <c r="D2622" s="8">
        <v>237.58</v>
      </c>
    </row>
    <row r="2623" spans="1:4" x14ac:dyDescent="0.45">
      <c r="A2623" s="7">
        <v>45394</v>
      </c>
      <c r="B2623" t="s">
        <v>93</v>
      </c>
      <c r="C2623" t="s">
        <v>106</v>
      </c>
      <c r="D2623" s="8">
        <v>414.34</v>
      </c>
    </row>
    <row r="2624" spans="1:4" x14ac:dyDescent="0.45">
      <c r="A2624" s="7">
        <v>46084</v>
      </c>
      <c r="B2624" t="s">
        <v>97</v>
      </c>
      <c r="C2624" t="s">
        <v>104</v>
      </c>
      <c r="D2624" s="8">
        <v>-78.77</v>
      </c>
    </row>
    <row r="2625" spans="1:4" x14ac:dyDescent="0.45">
      <c r="A2625" s="7">
        <v>45897</v>
      </c>
      <c r="B2625" t="s">
        <v>95</v>
      </c>
      <c r="C2625" t="s">
        <v>108</v>
      </c>
      <c r="D2625" s="8">
        <v>416.07</v>
      </c>
    </row>
    <row r="2626" spans="1:4" x14ac:dyDescent="0.45">
      <c r="A2626" s="7">
        <v>45852</v>
      </c>
      <c r="B2626" t="s">
        <v>97</v>
      </c>
      <c r="C2626" t="s">
        <v>101</v>
      </c>
      <c r="D2626" s="8">
        <v>243.03</v>
      </c>
    </row>
    <row r="2627" spans="1:4" x14ac:dyDescent="0.45">
      <c r="A2627" s="7">
        <v>45773</v>
      </c>
      <c r="B2627" t="s">
        <v>93</v>
      </c>
      <c r="C2627" t="s">
        <v>100</v>
      </c>
      <c r="D2627" s="8">
        <v>364.03</v>
      </c>
    </row>
    <row r="2628" spans="1:4" x14ac:dyDescent="0.45">
      <c r="A2628" s="7">
        <v>45528</v>
      </c>
      <c r="B2628" t="s">
        <v>95</v>
      </c>
      <c r="C2628" t="s">
        <v>99</v>
      </c>
      <c r="D2628" s="8">
        <v>117.99</v>
      </c>
    </row>
    <row r="2629" spans="1:4" x14ac:dyDescent="0.45">
      <c r="A2629" s="7">
        <v>46008</v>
      </c>
      <c r="B2629" t="s">
        <v>93</v>
      </c>
      <c r="C2629" t="s">
        <v>106</v>
      </c>
      <c r="D2629" s="8">
        <v>-58.14</v>
      </c>
    </row>
    <row r="2630" spans="1:4" x14ac:dyDescent="0.45">
      <c r="A2630" s="7">
        <v>45882</v>
      </c>
      <c r="B2630" t="s">
        <v>97</v>
      </c>
      <c r="C2630" t="s">
        <v>104</v>
      </c>
      <c r="D2630" s="8">
        <v>362.48</v>
      </c>
    </row>
    <row r="2631" spans="1:4" x14ac:dyDescent="0.45">
      <c r="A2631" s="7">
        <v>45477</v>
      </c>
      <c r="B2631" t="s">
        <v>93</v>
      </c>
      <c r="C2631" t="s">
        <v>100</v>
      </c>
      <c r="D2631" s="8">
        <v>472.89</v>
      </c>
    </row>
    <row r="2632" spans="1:4" x14ac:dyDescent="0.45">
      <c r="A2632" s="7">
        <v>46052</v>
      </c>
      <c r="B2632" t="s">
        <v>97</v>
      </c>
      <c r="C2632" t="s">
        <v>98</v>
      </c>
      <c r="D2632" s="8">
        <v>-20.13</v>
      </c>
    </row>
    <row r="2633" spans="1:4" x14ac:dyDescent="0.45">
      <c r="A2633" s="7">
        <v>45573</v>
      </c>
      <c r="B2633" t="s">
        <v>97</v>
      </c>
      <c r="C2633" t="s">
        <v>101</v>
      </c>
      <c r="D2633" s="8">
        <v>343.03</v>
      </c>
    </row>
    <row r="2634" spans="1:4" x14ac:dyDescent="0.45">
      <c r="A2634" s="7">
        <v>45412</v>
      </c>
      <c r="B2634" t="s">
        <v>93</v>
      </c>
      <c r="C2634" t="s">
        <v>106</v>
      </c>
      <c r="D2634" s="8">
        <v>402.65</v>
      </c>
    </row>
    <row r="2635" spans="1:4" x14ac:dyDescent="0.45">
      <c r="A2635" s="7">
        <v>45814</v>
      </c>
      <c r="B2635" t="s">
        <v>93</v>
      </c>
      <c r="C2635" t="s">
        <v>94</v>
      </c>
      <c r="D2635" s="8">
        <v>396.94</v>
      </c>
    </row>
    <row r="2636" spans="1:4" x14ac:dyDescent="0.45">
      <c r="A2636" s="7">
        <v>45686</v>
      </c>
      <c r="B2636" t="s">
        <v>95</v>
      </c>
      <c r="C2636" t="s">
        <v>108</v>
      </c>
      <c r="D2636" s="8">
        <v>183.02</v>
      </c>
    </row>
    <row r="2637" spans="1:4" x14ac:dyDescent="0.45">
      <c r="A2637" s="7">
        <v>45702</v>
      </c>
      <c r="B2637" t="s">
        <v>93</v>
      </c>
      <c r="C2637" t="s">
        <v>94</v>
      </c>
      <c r="D2637" s="8">
        <v>-34.159999999999997</v>
      </c>
    </row>
    <row r="2638" spans="1:4" x14ac:dyDescent="0.45">
      <c r="A2638" s="7">
        <v>46033</v>
      </c>
      <c r="B2638" t="s">
        <v>95</v>
      </c>
      <c r="C2638" t="s">
        <v>105</v>
      </c>
      <c r="D2638" s="8">
        <v>103.57</v>
      </c>
    </row>
    <row r="2639" spans="1:4" x14ac:dyDescent="0.45">
      <c r="A2639" s="7">
        <v>45929</v>
      </c>
      <c r="B2639" t="s">
        <v>97</v>
      </c>
      <c r="C2639" t="s">
        <v>98</v>
      </c>
      <c r="D2639" s="8">
        <v>92.72</v>
      </c>
    </row>
    <row r="2640" spans="1:4" x14ac:dyDescent="0.45">
      <c r="A2640" s="7">
        <v>45602</v>
      </c>
      <c r="B2640" t="s">
        <v>97</v>
      </c>
      <c r="C2640" t="s">
        <v>107</v>
      </c>
      <c r="D2640" s="8">
        <v>99.11</v>
      </c>
    </row>
    <row r="2641" spans="1:4" x14ac:dyDescent="0.45">
      <c r="A2641" s="7">
        <v>45688</v>
      </c>
      <c r="B2641" t="s">
        <v>93</v>
      </c>
      <c r="C2641" t="s">
        <v>106</v>
      </c>
      <c r="D2641" s="8">
        <v>-139.55000000000001</v>
      </c>
    </row>
    <row r="2642" spans="1:4" x14ac:dyDescent="0.45">
      <c r="A2642" s="7">
        <v>45772</v>
      </c>
      <c r="B2642" t="s">
        <v>93</v>
      </c>
      <c r="C2642" t="s">
        <v>100</v>
      </c>
      <c r="D2642" s="8">
        <v>285.91000000000003</v>
      </c>
    </row>
    <row r="2643" spans="1:4" x14ac:dyDescent="0.45">
      <c r="A2643" s="7">
        <v>45665</v>
      </c>
      <c r="B2643" t="s">
        <v>95</v>
      </c>
      <c r="C2643" t="s">
        <v>105</v>
      </c>
      <c r="D2643" s="8">
        <v>241.32</v>
      </c>
    </row>
    <row r="2644" spans="1:4" x14ac:dyDescent="0.45">
      <c r="A2644" s="7">
        <v>45890</v>
      </c>
      <c r="B2644" t="s">
        <v>95</v>
      </c>
      <c r="C2644" t="s">
        <v>99</v>
      </c>
      <c r="D2644" s="8">
        <v>-65.36</v>
      </c>
    </row>
    <row r="2645" spans="1:4" x14ac:dyDescent="0.45">
      <c r="A2645" s="7">
        <v>45865</v>
      </c>
      <c r="B2645" t="s">
        <v>93</v>
      </c>
      <c r="C2645" t="s">
        <v>106</v>
      </c>
      <c r="D2645" s="8">
        <v>153.54</v>
      </c>
    </row>
    <row r="2646" spans="1:4" x14ac:dyDescent="0.45">
      <c r="A2646" s="7">
        <v>45574</v>
      </c>
      <c r="B2646" t="s">
        <v>93</v>
      </c>
      <c r="C2646" t="s">
        <v>103</v>
      </c>
      <c r="D2646" s="8">
        <v>59.05</v>
      </c>
    </row>
    <row r="2647" spans="1:4" x14ac:dyDescent="0.45">
      <c r="A2647" s="7">
        <v>45447</v>
      </c>
      <c r="B2647" t="s">
        <v>97</v>
      </c>
      <c r="C2647" t="s">
        <v>107</v>
      </c>
      <c r="D2647" s="8">
        <v>-52.37</v>
      </c>
    </row>
    <row r="2648" spans="1:4" x14ac:dyDescent="0.45">
      <c r="A2648" s="7">
        <v>45696</v>
      </c>
      <c r="B2648" t="s">
        <v>97</v>
      </c>
      <c r="C2648" t="s">
        <v>107</v>
      </c>
      <c r="D2648" s="8">
        <v>-139.59</v>
      </c>
    </row>
    <row r="2649" spans="1:4" x14ac:dyDescent="0.45">
      <c r="A2649" s="7">
        <v>45900</v>
      </c>
      <c r="B2649" t="s">
        <v>95</v>
      </c>
      <c r="C2649" t="s">
        <v>109</v>
      </c>
      <c r="D2649" s="8">
        <v>-69.64</v>
      </c>
    </row>
    <row r="2650" spans="1:4" x14ac:dyDescent="0.45">
      <c r="A2650" s="7">
        <v>45602</v>
      </c>
      <c r="B2650" t="s">
        <v>93</v>
      </c>
      <c r="C2650" t="s">
        <v>100</v>
      </c>
      <c r="D2650" s="8">
        <v>-123.27</v>
      </c>
    </row>
    <row r="2651" spans="1:4" x14ac:dyDescent="0.45">
      <c r="A2651" s="7">
        <v>45962</v>
      </c>
      <c r="B2651" t="s">
        <v>93</v>
      </c>
      <c r="C2651" t="s">
        <v>94</v>
      </c>
      <c r="D2651" s="8">
        <v>-21.63</v>
      </c>
    </row>
    <row r="2652" spans="1:4" x14ac:dyDescent="0.45">
      <c r="A2652" s="7">
        <v>45298</v>
      </c>
      <c r="B2652" t="s">
        <v>97</v>
      </c>
      <c r="C2652" t="s">
        <v>98</v>
      </c>
      <c r="D2652" s="8">
        <v>326.31</v>
      </c>
    </row>
    <row r="2653" spans="1:4" x14ac:dyDescent="0.45">
      <c r="A2653" s="7">
        <v>45796</v>
      </c>
      <c r="B2653" t="s">
        <v>95</v>
      </c>
      <c r="C2653" t="s">
        <v>96</v>
      </c>
      <c r="D2653" s="8">
        <v>452.14</v>
      </c>
    </row>
    <row r="2654" spans="1:4" x14ac:dyDescent="0.45">
      <c r="A2654" s="7">
        <v>45944</v>
      </c>
      <c r="B2654" t="s">
        <v>95</v>
      </c>
      <c r="C2654" t="s">
        <v>96</v>
      </c>
      <c r="D2654" s="8">
        <v>-32.39</v>
      </c>
    </row>
    <row r="2655" spans="1:4" x14ac:dyDescent="0.45">
      <c r="A2655" s="7">
        <v>45662</v>
      </c>
      <c r="B2655" t="s">
        <v>95</v>
      </c>
      <c r="C2655" t="s">
        <v>105</v>
      </c>
      <c r="D2655" s="8">
        <v>-79.17</v>
      </c>
    </row>
    <row r="2656" spans="1:4" x14ac:dyDescent="0.45">
      <c r="A2656" s="7">
        <v>45540</v>
      </c>
      <c r="B2656" t="s">
        <v>97</v>
      </c>
      <c r="C2656" t="s">
        <v>107</v>
      </c>
      <c r="D2656" s="8">
        <v>56.58</v>
      </c>
    </row>
    <row r="2657" spans="1:4" x14ac:dyDescent="0.45">
      <c r="A2657" s="7">
        <v>45457</v>
      </c>
      <c r="B2657" t="s">
        <v>95</v>
      </c>
      <c r="C2657" t="s">
        <v>108</v>
      </c>
      <c r="D2657" s="8">
        <v>321.72000000000003</v>
      </c>
    </row>
    <row r="2658" spans="1:4" x14ac:dyDescent="0.45">
      <c r="A2658" s="7">
        <v>45931</v>
      </c>
      <c r="B2658" t="s">
        <v>95</v>
      </c>
      <c r="C2658" t="s">
        <v>109</v>
      </c>
      <c r="D2658" s="8">
        <v>260.93</v>
      </c>
    </row>
    <row r="2659" spans="1:4" x14ac:dyDescent="0.45">
      <c r="A2659" s="7">
        <v>45400</v>
      </c>
      <c r="B2659" t="s">
        <v>97</v>
      </c>
      <c r="C2659" t="s">
        <v>98</v>
      </c>
      <c r="D2659" s="8">
        <v>372.74</v>
      </c>
    </row>
    <row r="2660" spans="1:4" x14ac:dyDescent="0.45">
      <c r="A2660" s="7">
        <v>45654</v>
      </c>
      <c r="B2660" t="s">
        <v>95</v>
      </c>
      <c r="C2660" t="s">
        <v>109</v>
      </c>
      <c r="D2660" s="8">
        <v>181.37</v>
      </c>
    </row>
    <row r="2661" spans="1:4" x14ac:dyDescent="0.45">
      <c r="A2661" s="7">
        <v>45468</v>
      </c>
      <c r="B2661" t="s">
        <v>95</v>
      </c>
      <c r="C2661" t="s">
        <v>109</v>
      </c>
      <c r="D2661" s="8">
        <v>26.88</v>
      </c>
    </row>
    <row r="2662" spans="1:4" x14ac:dyDescent="0.45">
      <c r="A2662" s="7">
        <v>45647</v>
      </c>
      <c r="B2662" t="s">
        <v>97</v>
      </c>
      <c r="C2662" t="s">
        <v>101</v>
      </c>
      <c r="D2662" s="8">
        <v>415.63</v>
      </c>
    </row>
    <row r="2663" spans="1:4" x14ac:dyDescent="0.45">
      <c r="A2663" s="7">
        <v>46119</v>
      </c>
      <c r="B2663" t="s">
        <v>93</v>
      </c>
      <c r="C2663" t="s">
        <v>94</v>
      </c>
      <c r="D2663" s="8">
        <v>239.06</v>
      </c>
    </row>
    <row r="2664" spans="1:4" x14ac:dyDescent="0.45">
      <c r="A2664" s="7">
        <v>46049</v>
      </c>
      <c r="B2664" t="s">
        <v>93</v>
      </c>
      <c r="C2664" t="s">
        <v>103</v>
      </c>
      <c r="D2664" s="8">
        <v>312.42</v>
      </c>
    </row>
    <row r="2665" spans="1:4" x14ac:dyDescent="0.45">
      <c r="A2665" s="7">
        <v>45399</v>
      </c>
      <c r="B2665" t="s">
        <v>97</v>
      </c>
      <c r="C2665" t="s">
        <v>101</v>
      </c>
      <c r="D2665" s="8">
        <v>32.15</v>
      </c>
    </row>
    <row r="2666" spans="1:4" x14ac:dyDescent="0.45">
      <c r="A2666" s="7">
        <v>45762</v>
      </c>
      <c r="B2666" t="s">
        <v>93</v>
      </c>
      <c r="C2666" t="s">
        <v>100</v>
      </c>
      <c r="D2666" s="8">
        <v>297.75</v>
      </c>
    </row>
    <row r="2667" spans="1:4" x14ac:dyDescent="0.45">
      <c r="A2667" s="7">
        <v>45910</v>
      </c>
      <c r="B2667" t="s">
        <v>97</v>
      </c>
      <c r="C2667" t="s">
        <v>98</v>
      </c>
      <c r="D2667" s="8">
        <v>-74.400000000000006</v>
      </c>
    </row>
    <row r="2668" spans="1:4" x14ac:dyDescent="0.45">
      <c r="A2668" s="7">
        <v>45892</v>
      </c>
      <c r="B2668" t="s">
        <v>97</v>
      </c>
      <c r="C2668" t="s">
        <v>104</v>
      </c>
      <c r="D2668" s="8">
        <v>71.650000000000006</v>
      </c>
    </row>
    <row r="2669" spans="1:4" x14ac:dyDescent="0.45">
      <c r="A2669" s="7">
        <v>46017</v>
      </c>
      <c r="B2669" t="s">
        <v>95</v>
      </c>
      <c r="C2669" t="s">
        <v>108</v>
      </c>
      <c r="D2669" s="8">
        <v>179.17</v>
      </c>
    </row>
    <row r="2670" spans="1:4" x14ac:dyDescent="0.45">
      <c r="A2670" s="7">
        <v>45436</v>
      </c>
      <c r="B2670" t="s">
        <v>93</v>
      </c>
      <c r="C2670" t="s">
        <v>103</v>
      </c>
      <c r="D2670" s="8">
        <v>470.72</v>
      </c>
    </row>
    <row r="2671" spans="1:4" x14ac:dyDescent="0.45">
      <c r="A2671" s="7">
        <v>45328</v>
      </c>
      <c r="B2671" t="s">
        <v>97</v>
      </c>
      <c r="C2671" t="s">
        <v>98</v>
      </c>
      <c r="D2671" s="8">
        <v>211.99</v>
      </c>
    </row>
    <row r="2672" spans="1:4" x14ac:dyDescent="0.45">
      <c r="A2672" s="7">
        <v>46168</v>
      </c>
      <c r="B2672" t="s">
        <v>95</v>
      </c>
      <c r="C2672" t="s">
        <v>96</v>
      </c>
      <c r="D2672" s="8">
        <v>-14.76</v>
      </c>
    </row>
    <row r="2673" spans="1:4" x14ac:dyDescent="0.45">
      <c r="A2673" s="7">
        <v>45717</v>
      </c>
      <c r="B2673" t="s">
        <v>97</v>
      </c>
      <c r="C2673" t="s">
        <v>104</v>
      </c>
      <c r="D2673" s="8">
        <v>0.84</v>
      </c>
    </row>
    <row r="2674" spans="1:4" x14ac:dyDescent="0.45">
      <c r="A2674" s="7">
        <v>46103</v>
      </c>
      <c r="B2674" t="s">
        <v>95</v>
      </c>
      <c r="C2674" t="s">
        <v>105</v>
      </c>
      <c r="D2674" s="8">
        <v>166.15</v>
      </c>
    </row>
    <row r="2675" spans="1:4" x14ac:dyDescent="0.45">
      <c r="A2675" s="7">
        <v>45719</v>
      </c>
      <c r="B2675" t="s">
        <v>95</v>
      </c>
      <c r="C2675" t="s">
        <v>99</v>
      </c>
      <c r="D2675" s="8">
        <v>-41.94</v>
      </c>
    </row>
    <row r="2676" spans="1:4" x14ac:dyDescent="0.45">
      <c r="A2676" s="7">
        <v>45517</v>
      </c>
      <c r="B2676" t="s">
        <v>95</v>
      </c>
      <c r="C2676" t="s">
        <v>99</v>
      </c>
      <c r="D2676" s="8">
        <v>440.8</v>
      </c>
    </row>
    <row r="2677" spans="1:4" x14ac:dyDescent="0.45">
      <c r="A2677" s="7">
        <v>45493</v>
      </c>
      <c r="B2677" t="s">
        <v>97</v>
      </c>
      <c r="C2677" t="s">
        <v>104</v>
      </c>
      <c r="D2677" s="8">
        <v>246.21</v>
      </c>
    </row>
    <row r="2678" spans="1:4" x14ac:dyDescent="0.45">
      <c r="A2678" s="7">
        <v>45922</v>
      </c>
      <c r="B2678" t="s">
        <v>95</v>
      </c>
      <c r="C2678" t="s">
        <v>96</v>
      </c>
      <c r="D2678" s="8">
        <v>213.11</v>
      </c>
    </row>
    <row r="2679" spans="1:4" x14ac:dyDescent="0.45">
      <c r="A2679" s="7">
        <v>45989</v>
      </c>
      <c r="B2679" t="s">
        <v>95</v>
      </c>
      <c r="C2679" t="s">
        <v>102</v>
      </c>
      <c r="D2679" s="8">
        <v>180.32</v>
      </c>
    </row>
    <row r="2680" spans="1:4" x14ac:dyDescent="0.45">
      <c r="A2680" s="7">
        <v>45446</v>
      </c>
      <c r="B2680" t="s">
        <v>97</v>
      </c>
      <c r="C2680" t="s">
        <v>98</v>
      </c>
      <c r="D2680" s="8">
        <v>60.15</v>
      </c>
    </row>
    <row r="2681" spans="1:4" x14ac:dyDescent="0.45">
      <c r="A2681" s="7">
        <v>45898</v>
      </c>
      <c r="B2681" t="s">
        <v>97</v>
      </c>
      <c r="C2681" t="s">
        <v>107</v>
      </c>
      <c r="D2681" s="8">
        <v>334.52</v>
      </c>
    </row>
    <row r="2682" spans="1:4" x14ac:dyDescent="0.45">
      <c r="A2682" s="7">
        <v>45783</v>
      </c>
      <c r="B2682" t="s">
        <v>95</v>
      </c>
      <c r="C2682" t="s">
        <v>109</v>
      </c>
      <c r="D2682" s="8">
        <v>234.68</v>
      </c>
    </row>
    <row r="2683" spans="1:4" x14ac:dyDescent="0.45">
      <c r="A2683" s="7">
        <v>46172</v>
      </c>
      <c r="B2683" t="s">
        <v>97</v>
      </c>
      <c r="C2683" t="s">
        <v>107</v>
      </c>
      <c r="D2683" s="8">
        <v>258.45</v>
      </c>
    </row>
    <row r="2684" spans="1:4" x14ac:dyDescent="0.45">
      <c r="A2684" s="7">
        <v>45741</v>
      </c>
      <c r="B2684" t="s">
        <v>97</v>
      </c>
      <c r="C2684" t="s">
        <v>104</v>
      </c>
      <c r="D2684" s="8">
        <v>333.75</v>
      </c>
    </row>
    <row r="2685" spans="1:4" x14ac:dyDescent="0.45">
      <c r="A2685" s="7">
        <v>46078</v>
      </c>
      <c r="B2685" t="s">
        <v>93</v>
      </c>
      <c r="C2685" t="s">
        <v>103</v>
      </c>
      <c r="D2685" s="8">
        <v>-61.17</v>
      </c>
    </row>
    <row r="2686" spans="1:4" x14ac:dyDescent="0.45">
      <c r="A2686" s="7">
        <v>45679</v>
      </c>
      <c r="B2686" t="s">
        <v>93</v>
      </c>
      <c r="C2686" t="s">
        <v>100</v>
      </c>
      <c r="D2686" s="8">
        <v>-5.62</v>
      </c>
    </row>
    <row r="2687" spans="1:4" x14ac:dyDescent="0.45">
      <c r="A2687" s="7">
        <v>45617</v>
      </c>
      <c r="B2687" t="s">
        <v>97</v>
      </c>
      <c r="C2687" t="s">
        <v>101</v>
      </c>
      <c r="D2687" s="8">
        <v>258.56</v>
      </c>
    </row>
    <row r="2688" spans="1:4" x14ac:dyDescent="0.45">
      <c r="A2688" s="7">
        <v>46167</v>
      </c>
      <c r="B2688" t="s">
        <v>93</v>
      </c>
      <c r="C2688" t="s">
        <v>106</v>
      </c>
      <c r="D2688" s="8">
        <v>260.35000000000002</v>
      </c>
    </row>
    <row r="2689" spans="1:4" x14ac:dyDescent="0.45">
      <c r="A2689" s="7">
        <v>45555</v>
      </c>
      <c r="B2689" t="s">
        <v>93</v>
      </c>
      <c r="C2689" t="s">
        <v>103</v>
      </c>
      <c r="D2689" s="8">
        <v>-44.09</v>
      </c>
    </row>
    <row r="2690" spans="1:4" x14ac:dyDescent="0.45">
      <c r="A2690" s="7">
        <v>45525</v>
      </c>
      <c r="B2690" t="s">
        <v>95</v>
      </c>
      <c r="C2690" t="s">
        <v>96</v>
      </c>
      <c r="D2690" s="8">
        <v>123.48</v>
      </c>
    </row>
    <row r="2691" spans="1:4" x14ac:dyDescent="0.45">
      <c r="A2691" s="7">
        <v>45365</v>
      </c>
      <c r="B2691" t="s">
        <v>93</v>
      </c>
      <c r="C2691" t="s">
        <v>103</v>
      </c>
      <c r="D2691" s="8">
        <v>191.95</v>
      </c>
    </row>
    <row r="2692" spans="1:4" x14ac:dyDescent="0.45">
      <c r="A2692" s="7">
        <v>45417</v>
      </c>
      <c r="B2692" t="s">
        <v>97</v>
      </c>
      <c r="C2692" t="s">
        <v>98</v>
      </c>
      <c r="D2692" s="8">
        <v>367.28</v>
      </c>
    </row>
    <row r="2693" spans="1:4" x14ac:dyDescent="0.45">
      <c r="A2693" s="7">
        <v>45740</v>
      </c>
      <c r="B2693" t="s">
        <v>93</v>
      </c>
      <c r="C2693" t="s">
        <v>103</v>
      </c>
      <c r="D2693" s="8">
        <v>484.94</v>
      </c>
    </row>
    <row r="2694" spans="1:4" x14ac:dyDescent="0.45">
      <c r="A2694" s="7">
        <v>45520</v>
      </c>
      <c r="B2694" t="s">
        <v>93</v>
      </c>
      <c r="C2694" t="s">
        <v>94</v>
      </c>
      <c r="D2694" s="8">
        <v>-130.54</v>
      </c>
    </row>
    <row r="2695" spans="1:4" x14ac:dyDescent="0.45">
      <c r="A2695" s="7">
        <v>46095</v>
      </c>
      <c r="B2695" t="s">
        <v>93</v>
      </c>
      <c r="C2695" t="s">
        <v>103</v>
      </c>
      <c r="D2695" s="8">
        <v>-118.6</v>
      </c>
    </row>
    <row r="2696" spans="1:4" x14ac:dyDescent="0.45">
      <c r="A2696" s="7">
        <v>45445</v>
      </c>
      <c r="B2696" t="s">
        <v>97</v>
      </c>
      <c r="C2696" t="s">
        <v>98</v>
      </c>
      <c r="D2696" s="8">
        <v>239.54</v>
      </c>
    </row>
    <row r="2697" spans="1:4" x14ac:dyDescent="0.45">
      <c r="A2697" s="7">
        <v>45706</v>
      </c>
      <c r="B2697" t="s">
        <v>93</v>
      </c>
      <c r="C2697" t="s">
        <v>106</v>
      </c>
      <c r="D2697" s="8">
        <v>314.39</v>
      </c>
    </row>
    <row r="2698" spans="1:4" x14ac:dyDescent="0.45">
      <c r="A2698" s="7">
        <v>45549</v>
      </c>
      <c r="B2698" t="s">
        <v>97</v>
      </c>
      <c r="C2698" t="s">
        <v>98</v>
      </c>
      <c r="D2698" s="8">
        <v>220.63</v>
      </c>
    </row>
    <row r="2699" spans="1:4" x14ac:dyDescent="0.45">
      <c r="A2699" s="7">
        <v>45830</v>
      </c>
      <c r="B2699" t="s">
        <v>97</v>
      </c>
      <c r="C2699" t="s">
        <v>101</v>
      </c>
      <c r="D2699" s="8">
        <v>311.63</v>
      </c>
    </row>
    <row r="2700" spans="1:4" x14ac:dyDescent="0.45">
      <c r="A2700" s="7">
        <v>45697</v>
      </c>
      <c r="B2700" t="s">
        <v>93</v>
      </c>
      <c r="C2700" t="s">
        <v>103</v>
      </c>
      <c r="D2700" s="8">
        <v>384.62</v>
      </c>
    </row>
    <row r="2701" spans="1:4" x14ac:dyDescent="0.45">
      <c r="A2701" s="7">
        <v>46084</v>
      </c>
      <c r="B2701" t="s">
        <v>97</v>
      </c>
      <c r="C2701" t="s">
        <v>101</v>
      </c>
      <c r="D2701" s="8">
        <v>78.62</v>
      </c>
    </row>
    <row r="2702" spans="1:4" x14ac:dyDescent="0.45">
      <c r="A2702" s="7">
        <v>45659</v>
      </c>
      <c r="B2702" t="s">
        <v>95</v>
      </c>
      <c r="C2702" t="s">
        <v>108</v>
      </c>
      <c r="D2702" s="8">
        <v>264.45</v>
      </c>
    </row>
    <row r="2703" spans="1:4" x14ac:dyDescent="0.45">
      <c r="A2703" s="7">
        <v>45763</v>
      </c>
      <c r="B2703" t="s">
        <v>97</v>
      </c>
      <c r="C2703" t="s">
        <v>98</v>
      </c>
      <c r="D2703" s="8">
        <v>-17.03</v>
      </c>
    </row>
    <row r="2704" spans="1:4" x14ac:dyDescent="0.45">
      <c r="A2704" s="7">
        <v>45365</v>
      </c>
      <c r="B2704" t="s">
        <v>93</v>
      </c>
      <c r="C2704" t="s">
        <v>94</v>
      </c>
      <c r="D2704" s="8">
        <v>248.15</v>
      </c>
    </row>
    <row r="2705" spans="1:4" x14ac:dyDescent="0.45">
      <c r="A2705" s="7">
        <v>45895</v>
      </c>
      <c r="B2705" t="s">
        <v>97</v>
      </c>
      <c r="C2705" t="s">
        <v>101</v>
      </c>
      <c r="D2705" s="8">
        <v>-128.77000000000001</v>
      </c>
    </row>
    <row r="2706" spans="1:4" x14ac:dyDescent="0.45">
      <c r="A2706" s="7">
        <v>45775</v>
      </c>
      <c r="B2706" t="s">
        <v>95</v>
      </c>
      <c r="C2706" t="s">
        <v>105</v>
      </c>
      <c r="D2706" s="8">
        <v>183.99</v>
      </c>
    </row>
    <row r="2707" spans="1:4" x14ac:dyDescent="0.45">
      <c r="A2707" s="7">
        <v>45445</v>
      </c>
      <c r="B2707" t="s">
        <v>95</v>
      </c>
      <c r="C2707" t="s">
        <v>102</v>
      </c>
      <c r="D2707" s="8">
        <v>124.6</v>
      </c>
    </row>
    <row r="2708" spans="1:4" x14ac:dyDescent="0.45">
      <c r="A2708" s="7">
        <v>45486</v>
      </c>
      <c r="B2708" t="s">
        <v>95</v>
      </c>
      <c r="C2708" t="s">
        <v>102</v>
      </c>
      <c r="D2708" s="8">
        <v>430.61</v>
      </c>
    </row>
    <row r="2709" spans="1:4" x14ac:dyDescent="0.45">
      <c r="A2709" s="7">
        <v>45772</v>
      </c>
      <c r="B2709" t="s">
        <v>95</v>
      </c>
      <c r="C2709" t="s">
        <v>109</v>
      </c>
      <c r="D2709" s="8">
        <v>257.67</v>
      </c>
    </row>
    <row r="2710" spans="1:4" x14ac:dyDescent="0.45">
      <c r="A2710" s="7">
        <v>45395</v>
      </c>
      <c r="B2710" t="s">
        <v>97</v>
      </c>
      <c r="C2710" t="s">
        <v>107</v>
      </c>
      <c r="D2710" s="8">
        <v>-80.67</v>
      </c>
    </row>
    <row r="2711" spans="1:4" x14ac:dyDescent="0.45">
      <c r="A2711" s="7">
        <v>45460</v>
      </c>
      <c r="B2711" t="s">
        <v>95</v>
      </c>
      <c r="C2711" t="s">
        <v>105</v>
      </c>
      <c r="D2711" s="8">
        <v>14.56</v>
      </c>
    </row>
    <row r="2712" spans="1:4" x14ac:dyDescent="0.45">
      <c r="A2712" s="7">
        <v>45772</v>
      </c>
      <c r="B2712" t="s">
        <v>95</v>
      </c>
      <c r="C2712" t="s">
        <v>102</v>
      </c>
      <c r="D2712" s="8">
        <v>348.06</v>
      </c>
    </row>
    <row r="2713" spans="1:4" x14ac:dyDescent="0.45">
      <c r="A2713" s="7">
        <v>45422</v>
      </c>
      <c r="B2713" t="s">
        <v>93</v>
      </c>
      <c r="C2713" t="s">
        <v>103</v>
      </c>
      <c r="D2713" s="8">
        <v>380.58</v>
      </c>
    </row>
    <row r="2714" spans="1:4" x14ac:dyDescent="0.45">
      <c r="A2714" s="7">
        <v>45738</v>
      </c>
      <c r="B2714" t="s">
        <v>97</v>
      </c>
      <c r="C2714" t="s">
        <v>104</v>
      </c>
      <c r="D2714" s="8">
        <v>84.64</v>
      </c>
    </row>
    <row r="2715" spans="1:4" x14ac:dyDescent="0.45">
      <c r="A2715" s="7">
        <v>45550</v>
      </c>
      <c r="B2715" t="s">
        <v>95</v>
      </c>
      <c r="C2715" t="s">
        <v>105</v>
      </c>
      <c r="D2715" s="8">
        <v>-134.74</v>
      </c>
    </row>
    <row r="2716" spans="1:4" x14ac:dyDescent="0.45">
      <c r="A2716" s="7">
        <v>45459</v>
      </c>
      <c r="B2716" t="s">
        <v>95</v>
      </c>
      <c r="C2716" t="s">
        <v>102</v>
      </c>
      <c r="D2716" s="8">
        <v>194.7</v>
      </c>
    </row>
    <row r="2717" spans="1:4" x14ac:dyDescent="0.45">
      <c r="A2717" s="7">
        <v>45589</v>
      </c>
      <c r="B2717" t="s">
        <v>93</v>
      </c>
      <c r="C2717" t="s">
        <v>94</v>
      </c>
      <c r="D2717" s="8">
        <v>-71.900000000000006</v>
      </c>
    </row>
    <row r="2718" spans="1:4" x14ac:dyDescent="0.45">
      <c r="A2718" s="7">
        <v>45299</v>
      </c>
      <c r="B2718" t="s">
        <v>97</v>
      </c>
      <c r="C2718" t="s">
        <v>101</v>
      </c>
      <c r="D2718" s="8">
        <v>129.19999999999999</v>
      </c>
    </row>
    <row r="2719" spans="1:4" x14ac:dyDescent="0.45">
      <c r="A2719" s="7">
        <v>45623</v>
      </c>
      <c r="B2719" t="s">
        <v>97</v>
      </c>
      <c r="C2719" t="s">
        <v>104</v>
      </c>
      <c r="D2719" s="8">
        <v>172.75</v>
      </c>
    </row>
    <row r="2720" spans="1:4" x14ac:dyDescent="0.45">
      <c r="A2720" s="7">
        <v>45914</v>
      </c>
      <c r="B2720" t="s">
        <v>95</v>
      </c>
      <c r="C2720" t="s">
        <v>102</v>
      </c>
      <c r="D2720" s="8">
        <v>-32.299999999999997</v>
      </c>
    </row>
    <row r="2721" spans="1:4" x14ac:dyDescent="0.45">
      <c r="A2721" s="7">
        <v>46153</v>
      </c>
      <c r="B2721" t="s">
        <v>95</v>
      </c>
      <c r="C2721" t="s">
        <v>99</v>
      </c>
      <c r="D2721" s="8">
        <v>63.66</v>
      </c>
    </row>
    <row r="2722" spans="1:4" x14ac:dyDescent="0.45">
      <c r="A2722" s="7">
        <v>45975</v>
      </c>
      <c r="B2722" t="s">
        <v>93</v>
      </c>
      <c r="C2722" t="s">
        <v>103</v>
      </c>
      <c r="D2722" s="8">
        <v>-42.86</v>
      </c>
    </row>
    <row r="2723" spans="1:4" x14ac:dyDescent="0.45">
      <c r="A2723" s="7">
        <v>46050</v>
      </c>
      <c r="B2723" t="s">
        <v>95</v>
      </c>
      <c r="C2723" t="s">
        <v>99</v>
      </c>
      <c r="D2723" s="8">
        <v>264.8</v>
      </c>
    </row>
    <row r="2724" spans="1:4" x14ac:dyDescent="0.45">
      <c r="A2724" s="7">
        <v>46069</v>
      </c>
      <c r="B2724" t="s">
        <v>97</v>
      </c>
      <c r="C2724" t="s">
        <v>107</v>
      </c>
      <c r="D2724" s="8">
        <v>265.45999999999998</v>
      </c>
    </row>
    <row r="2725" spans="1:4" x14ac:dyDescent="0.45">
      <c r="A2725" s="7">
        <v>45934</v>
      </c>
      <c r="B2725" t="s">
        <v>97</v>
      </c>
      <c r="C2725" t="s">
        <v>104</v>
      </c>
      <c r="D2725" s="8">
        <v>492.3</v>
      </c>
    </row>
    <row r="2726" spans="1:4" x14ac:dyDescent="0.45">
      <c r="A2726" s="7">
        <v>46103</v>
      </c>
      <c r="B2726" t="s">
        <v>95</v>
      </c>
      <c r="C2726" t="s">
        <v>109</v>
      </c>
      <c r="D2726" s="8">
        <v>23.74</v>
      </c>
    </row>
    <row r="2727" spans="1:4" x14ac:dyDescent="0.45">
      <c r="A2727" s="7">
        <v>45417</v>
      </c>
      <c r="B2727" t="s">
        <v>95</v>
      </c>
      <c r="C2727" t="s">
        <v>105</v>
      </c>
      <c r="D2727" s="8">
        <v>309.67</v>
      </c>
    </row>
    <row r="2728" spans="1:4" x14ac:dyDescent="0.45">
      <c r="A2728" s="7">
        <v>45788</v>
      </c>
      <c r="B2728" t="s">
        <v>97</v>
      </c>
      <c r="C2728" t="s">
        <v>104</v>
      </c>
      <c r="D2728" s="8">
        <v>121.31</v>
      </c>
    </row>
    <row r="2729" spans="1:4" x14ac:dyDescent="0.45">
      <c r="A2729" s="7">
        <v>45737</v>
      </c>
      <c r="B2729" t="s">
        <v>95</v>
      </c>
      <c r="C2729" t="s">
        <v>108</v>
      </c>
      <c r="D2729" s="8">
        <v>307.56</v>
      </c>
    </row>
    <row r="2730" spans="1:4" x14ac:dyDescent="0.45">
      <c r="A2730" s="7">
        <v>45390</v>
      </c>
      <c r="B2730" t="s">
        <v>97</v>
      </c>
      <c r="C2730" t="s">
        <v>98</v>
      </c>
      <c r="D2730" s="8">
        <v>-41.76</v>
      </c>
    </row>
    <row r="2731" spans="1:4" x14ac:dyDescent="0.45">
      <c r="A2731" s="7">
        <v>45399</v>
      </c>
      <c r="B2731" t="s">
        <v>93</v>
      </c>
      <c r="C2731" t="s">
        <v>100</v>
      </c>
      <c r="D2731" s="8">
        <v>407.21</v>
      </c>
    </row>
    <row r="2732" spans="1:4" x14ac:dyDescent="0.45">
      <c r="A2732" s="7">
        <v>46134</v>
      </c>
      <c r="B2732" t="s">
        <v>95</v>
      </c>
      <c r="C2732" t="s">
        <v>109</v>
      </c>
      <c r="D2732" s="8">
        <v>310.91000000000003</v>
      </c>
    </row>
    <row r="2733" spans="1:4" x14ac:dyDescent="0.45">
      <c r="A2733" s="7">
        <v>45594</v>
      </c>
      <c r="B2733" t="s">
        <v>97</v>
      </c>
      <c r="C2733" t="s">
        <v>104</v>
      </c>
      <c r="D2733" s="8">
        <v>321.81</v>
      </c>
    </row>
    <row r="2734" spans="1:4" x14ac:dyDescent="0.45">
      <c r="A2734" s="7">
        <v>46022</v>
      </c>
      <c r="B2734" t="s">
        <v>97</v>
      </c>
      <c r="C2734" t="s">
        <v>107</v>
      </c>
      <c r="D2734" s="8">
        <v>229.75</v>
      </c>
    </row>
    <row r="2735" spans="1:4" x14ac:dyDescent="0.45">
      <c r="A2735" s="7">
        <v>45652</v>
      </c>
      <c r="B2735" t="s">
        <v>93</v>
      </c>
      <c r="C2735" t="s">
        <v>100</v>
      </c>
      <c r="D2735" s="8">
        <v>250.43</v>
      </c>
    </row>
    <row r="2736" spans="1:4" x14ac:dyDescent="0.45">
      <c r="A2736" s="7">
        <v>45615</v>
      </c>
      <c r="B2736" t="s">
        <v>95</v>
      </c>
      <c r="C2736" t="s">
        <v>99</v>
      </c>
      <c r="D2736" s="8">
        <v>442.73</v>
      </c>
    </row>
    <row r="2737" spans="1:4" x14ac:dyDescent="0.45">
      <c r="A2737" s="7">
        <v>45321</v>
      </c>
      <c r="B2737" t="s">
        <v>97</v>
      </c>
      <c r="C2737" t="s">
        <v>104</v>
      </c>
      <c r="D2737" s="8">
        <v>181.52</v>
      </c>
    </row>
    <row r="2738" spans="1:4" x14ac:dyDescent="0.45">
      <c r="A2738" s="7">
        <v>45446</v>
      </c>
      <c r="B2738" t="s">
        <v>97</v>
      </c>
      <c r="C2738" t="s">
        <v>107</v>
      </c>
      <c r="D2738" s="8">
        <v>254.11</v>
      </c>
    </row>
    <row r="2739" spans="1:4" x14ac:dyDescent="0.45">
      <c r="A2739" s="7">
        <v>45855</v>
      </c>
      <c r="B2739" t="s">
        <v>93</v>
      </c>
      <c r="C2739" t="s">
        <v>103</v>
      </c>
      <c r="D2739" s="8">
        <v>285.23</v>
      </c>
    </row>
    <row r="2740" spans="1:4" x14ac:dyDescent="0.45">
      <c r="A2740" s="7">
        <v>45533</v>
      </c>
      <c r="B2740" t="s">
        <v>95</v>
      </c>
      <c r="C2740" t="s">
        <v>109</v>
      </c>
      <c r="D2740" s="8">
        <v>-9.98</v>
      </c>
    </row>
    <row r="2741" spans="1:4" x14ac:dyDescent="0.45">
      <c r="A2741" s="7">
        <v>45657</v>
      </c>
      <c r="B2741" t="s">
        <v>95</v>
      </c>
      <c r="C2741" t="s">
        <v>99</v>
      </c>
      <c r="D2741" s="8">
        <v>199.64</v>
      </c>
    </row>
    <row r="2742" spans="1:4" x14ac:dyDescent="0.45">
      <c r="A2742" s="7">
        <v>45738</v>
      </c>
      <c r="B2742" t="s">
        <v>97</v>
      </c>
      <c r="C2742" t="s">
        <v>107</v>
      </c>
      <c r="D2742" s="8">
        <v>227.8</v>
      </c>
    </row>
    <row r="2743" spans="1:4" x14ac:dyDescent="0.45">
      <c r="A2743" s="7">
        <v>46171</v>
      </c>
      <c r="B2743" t="s">
        <v>93</v>
      </c>
      <c r="C2743" t="s">
        <v>106</v>
      </c>
      <c r="D2743" s="8">
        <v>130</v>
      </c>
    </row>
    <row r="2744" spans="1:4" x14ac:dyDescent="0.45">
      <c r="A2744" s="7">
        <v>45814</v>
      </c>
      <c r="B2744" t="s">
        <v>93</v>
      </c>
      <c r="C2744" t="s">
        <v>94</v>
      </c>
      <c r="D2744" s="8">
        <v>317.11</v>
      </c>
    </row>
    <row r="2745" spans="1:4" x14ac:dyDescent="0.45">
      <c r="A2745" s="7">
        <v>45778</v>
      </c>
      <c r="B2745" t="s">
        <v>95</v>
      </c>
      <c r="C2745" t="s">
        <v>105</v>
      </c>
      <c r="D2745" s="8">
        <v>77.849999999999994</v>
      </c>
    </row>
    <row r="2746" spans="1:4" x14ac:dyDescent="0.45">
      <c r="A2746" s="7">
        <v>45675</v>
      </c>
      <c r="B2746" t="s">
        <v>97</v>
      </c>
      <c r="C2746" t="s">
        <v>98</v>
      </c>
      <c r="D2746" s="8">
        <v>399.9</v>
      </c>
    </row>
    <row r="2747" spans="1:4" x14ac:dyDescent="0.45">
      <c r="A2747" s="7">
        <v>45580</v>
      </c>
      <c r="B2747" t="s">
        <v>93</v>
      </c>
      <c r="C2747" t="s">
        <v>100</v>
      </c>
      <c r="D2747" s="8">
        <v>179.46</v>
      </c>
    </row>
    <row r="2748" spans="1:4" x14ac:dyDescent="0.45">
      <c r="A2748" s="7">
        <v>45860</v>
      </c>
      <c r="B2748" t="s">
        <v>95</v>
      </c>
      <c r="C2748" t="s">
        <v>108</v>
      </c>
      <c r="D2748" s="8">
        <v>149.62</v>
      </c>
    </row>
    <row r="2749" spans="1:4" x14ac:dyDescent="0.45">
      <c r="A2749" s="7">
        <v>45497</v>
      </c>
      <c r="B2749" t="s">
        <v>95</v>
      </c>
      <c r="C2749" t="s">
        <v>105</v>
      </c>
      <c r="D2749" s="8">
        <v>138.6</v>
      </c>
    </row>
    <row r="2750" spans="1:4" x14ac:dyDescent="0.45">
      <c r="A2750" s="7">
        <v>46062</v>
      </c>
      <c r="B2750" t="s">
        <v>93</v>
      </c>
      <c r="C2750" t="s">
        <v>106</v>
      </c>
      <c r="D2750" s="8">
        <v>176.4</v>
      </c>
    </row>
    <row r="2751" spans="1:4" x14ac:dyDescent="0.45">
      <c r="A2751" s="7">
        <v>45889</v>
      </c>
      <c r="B2751" t="s">
        <v>97</v>
      </c>
      <c r="C2751" t="s">
        <v>104</v>
      </c>
      <c r="D2751" s="8">
        <v>137.22</v>
      </c>
    </row>
    <row r="2752" spans="1:4" x14ac:dyDescent="0.45">
      <c r="A2752" s="7">
        <v>45534</v>
      </c>
      <c r="B2752" t="s">
        <v>97</v>
      </c>
      <c r="C2752" t="s">
        <v>98</v>
      </c>
      <c r="D2752" s="8">
        <v>-118.66</v>
      </c>
    </row>
    <row r="2753" spans="1:4" x14ac:dyDescent="0.45">
      <c r="A2753" s="7">
        <v>45866</v>
      </c>
      <c r="B2753" t="s">
        <v>95</v>
      </c>
      <c r="C2753" t="s">
        <v>108</v>
      </c>
      <c r="D2753" s="8">
        <v>108.32</v>
      </c>
    </row>
    <row r="2754" spans="1:4" x14ac:dyDescent="0.45">
      <c r="A2754" s="7">
        <v>45627</v>
      </c>
      <c r="B2754" t="s">
        <v>93</v>
      </c>
      <c r="C2754" t="s">
        <v>100</v>
      </c>
      <c r="D2754" s="8">
        <v>441.45</v>
      </c>
    </row>
    <row r="2755" spans="1:4" x14ac:dyDescent="0.45">
      <c r="A2755" s="7">
        <v>46181</v>
      </c>
      <c r="B2755" t="s">
        <v>97</v>
      </c>
      <c r="C2755" t="s">
        <v>107</v>
      </c>
      <c r="D2755" s="8">
        <v>-63.86</v>
      </c>
    </row>
    <row r="2756" spans="1:4" x14ac:dyDescent="0.45">
      <c r="A2756" s="7">
        <v>46079</v>
      </c>
      <c r="B2756" t="s">
        <v>97</v>
      </c>
      <c r="C2756" t="s">
        <v>104</v>
      </c>
      <c r="D2756" s="8">
        <v>-53.9</v>
      </c>
    </row>
    <row r="2757" spans="1:4" x14ac:dyDescent="0.45">
      <c r="A2757" s="7">
        <v>46153</v>
      </c>
      <c r="B2757" t="s">
        <v>97</v>
      </c>
      <c r="C2757" t="s">
        <v>107</v>
      </c>
      <c r="D2757" s="8">
        <v>255.65</v>
      </c>
    </row>
    <row r="2758" spans="1:4" x14ac:dyDescent="0.45">
      <c r="A2758" s="7">
        <v>46002</v>
      </c>
      <c r="B2758" t="s">
        <v>95</v>
      </c>
      <c r="C2758" t="s">
        <v>102</v>
      </c>
      <c r="D2758" s="8">
        <v>432.03</v>
      </c>
    </row>
    <row r="2759" spans="1:4" x14ac:dyDescent="0.45">
      <c r="A2759" s="7">
        <v>45790</v>
      </c>
      <c r="B2759" t="s">
        <v>93</v>
      </c>
      <c r="C2759" t="s">
        <v>106</v>
      </c>
      <c r="D2759" s="8">
        <v>-45.76</v>
      </c>
    </row>
    <row r="2760" spans="1:4" x14ac:dyDescent="0.45">
      <c r="A2760" s="7">
        <v>45531</v>
      </c>
      <c r="B2760" t="s">
        <v>93</v>
      </c>
      <c r="C2760" t="s">
        <v>106</v>
      </c>
      <c r="D2760" s="8">
        <v>-75</v>
      </c>
    </row>
    <row r="2761" spans="1:4" x14ac:dyDescent="0.45">
      <c r="A2761" s="7">
        <v>45983</v>
      </c>
      <c r="B2761" t="s">
        <v>93</v>
      </c>
      <c r="C2761" t="s">
        <v>103</v>
      </c>
      <c r="D2761" s="8">
        <v>83.31</v>
      </c>
    </row>
    <row r="2762" spans="1:4" x14ac:dyDescent="0.45">
      <c r="A2762" s="7">
        <v>45581</v>
      </c>
      <c r="B2762" t="s">
        <v>95</v>
      </c>
      <c r="C2762" t="s">
        <v>108</v>
      </c>
      <c r="D2762" s="8">
        <v>336.73</v>
      </c>
    </row>
    <row r="2763" spans="1:4" x14ac:dyDescent="0.45">
      <c r="A2763" s="7">
        <v>45514</v>
      </c>
      <c r="B2763" t="s">
        <v>95</v>
      </c>
      <c r="C2763" t="s">
        <v>105</v>
      </c>
      <c r="D2763" s="8">
        <v>-96.55</v>
      </c>
    </row>
    <row r="2764" spans="1:4" x14ac:dyDescent="0.45">
      <c r="A2764" s="7">
        <v>45888</v>
      </c>
      <c r="B2764" t="s">
        <v>93</v>
      </c>
      <c r="C2764" t="s">
        <v>103</v>
      </c>
      <c r="D2764" s="8">
        <v>448.65</v>
      </c>
    </row>
    <row r="2765" spans="1:4" x14ac:dyDescent="0.45">
      <c r="A2765" s="7">
        <v>45758</v>
      </c>
      <c r="B2765" t="s">
        <v>97</v>
      </c>
      <c r="C2765" t="s">
        <v>107</v>
      </c>
      <c r="D2765" s="8">
        <v>-135.24</v>
      </c>
    </row>
    <row r="2766" spans="1:4" x14ac:dyDescent="0.45">
      <c r="A2766" s="7">
        <v>45938</v>
      </c>
      <c r="B2766" t="s">
        <v>95</v>
      </c>
      <c r="C2766" t="s">
        <v>109</v>
      </c>
      <c r="D2766" s="8">
        <v>336.94</v>
      </c>
    </row>
    <row r="2767" spans="1:4" x14ac:dyDescent="0.45">
      <c r="A2767" s="7">
        <v>46046</v>
      </c>
      <c r="B2767" t="s">
        <v>95</v>
      </c>
      <c r="C2767" t="s">
        <v>105</v>
      </c>
      <c r="D2767" s="8">
        <v>-27.7</v>
      </c>
    </row>
    <row r="2768" spans="1:4" x14ac:dyDescent="0.45">
      <c r="A2768" s="7">
        <v>45480</v>
      </c>
      <c r="B2768" t="s">
        <v>97</v>
      </c>
      <c r="C2768" t="s">
        <v>101</v>
      </c>
      <c r="D2768" s="8">
        <v>492.57</v>
      </c>
    </row>
    <row r="2769" spans="1:4" x14ac:dyDescent="0.45">
      <c r="A2769" s="7">
        <v>46053</v>
      </c>
      <c r="B2769" t="s">
        <v>95</v>
      </c>
      <c r="C2769" t="s">
        <v>99</v>
      </c>
      <c r="D2769" s="8">
        <v>362.74</v>
      </c>
    </row>
    <row r="2770" spans="1:4" x14ac:dyDescent="0.45">
      <c r="A2770" s="7">
        <v>45678</v>
      </c>
      <c r="B2770" t="s">
        <v>97</v>
      </c>
      <c r="C2770" t="s">
        <v>98</v>
      </c>
      <c r="D2770" s="8">
        <v>221.35</v>
      </c>
    </row>
    <row r="2771" spans="1:4" x14ac:dyDescent="0.45">
      <c r="A2771" s="7">
        <v>45816</v>
      </c>
      <c r="B2771" t="s">
        <v>95</v>
      </c>
      <c r="C2771" t="s">
        <v>99</v>
      </c>
      <c r="D2771" s="8">
        <v>168.43</v>
      </c>
    </row>
    <row r="2772" spans="1:4" x14ac:dyDescent="0.45">
      <c r="A2772" s="7">
        <v>45992</v>
      </c>
      <c r="B2772" t="s">
        <v>95</v>
      </c>
      <c r="C2772" t="s">
        <v>96</v>
      </c>
      <c r="D2772" s="8">
        <v>-45.19</v>
      </c>
    </row>
    <row r="2773" spans="1:4" x14ac:dyDescent="0.45">
      <c r="A2773" s="7">
        <v>46049</v>
      </c>
      <c r="B2773" t="s">
        <v>97</v>
      </c>
      <c r="C2773" t="s">
        <v>98</v>
      </c>
      <c r="D2773" s="8">
        <v>429.53</v>
      </c>
    </row>
    <row r="2774" spans="1:4" x14ac:dyDescent="0.45">
      <c r="A2774" s="7">
        <v>45363</v>
      </c>
      <c r="B2774" t="s">
        <v>97</v>
      </c>
      <c r="C2774" t="s">
        <v>104</v>
      </c>
      <c r="D2774" s="8">
        <v>-126.23</v>
      </c>
    </row>
    <row r="2775" spans="1:4" x14ac:dyDescent="0.45">
      <c r="A2775" s="7">
        <v>46017</v>
      </c>
      <c r="B2775" t="s">
        <v>97</v>
      </c>
      <c r="C2775" t="s">
        <v>107</v>
      </c>
      <c r="D2775" s="8">
        <v>44.38</v>
      </c>
    </row>
    <row r="2776" spans="1:4" x14ac:dyDescent="0.45">
      <c r="A2776" s="7">
        <v>45398</v>
      </c>
      <c r="B2776" t="s">
        <v>97</v>
      </c>
      <c r="C2776" t="s">
        <v>101</v>
      </c>
      <c r="D2776" s="8">
        <v>251.77</v>
      </c>
    </row>
    <row r="2777" spans="1:4" x14ac:dyDescent="0.45">
      <c r="A2777" s="7">
        <v>45958</v>
      </c>
      <c r="B2777" t="s">
        <v>97</v>
      </c>
      <c r="C2777" t="s">
        <v>104</v>
      </c>
      <c r="D2777" s="8">
        <v>456.69</v>
      </c>
    </row>
    <row r="2778" spans="1:4" x14ac:dyDescent="0.45">
      <c r="A2778" s="7">
        <v>45550</v>
      </c>
      <c r="B2778" t="s">
        <v>93</v>
      </c>
      <c r="C2778" t="s">
        <v>103</v>
      </c>
      <c r="D2778" s="8">
        <v>273.35000000000002</v>
      </c>
    </row>
    <row r="2779" spans="1:4" x14ac:dyDescent="0.45">
      <c r="A2779" s="7">
        <v>45846</v>
      </c>
      <c r="B2779" t="s">
        <v>93</v>
      </c>
      <c r="C2779" t="s">
        <v>103</v>
      </c>
      <c r="D2779" s="8">
        <v>0.03</v>
      </c>
    </row>
    <row r="2780" spans="1:4" x14ac:dyDescent="0.45">
      <c r="A2780" s="7">
        <v>45704</v>
      </c>
      <c r="B2780" t="s">
        <v>95</v>
      </c>
      <c r="C2780" t="s">
        <v>105</v>
      </c>
      <c r="D2780" s="8">
        <v>113.76</v>
      </c>
    </row>
    <row r="2781" spans="1:4" x14ac:dyDescent="0.45">
      <c r="A2781" s="7">
        <v>46153</v>
      </c>
      <c r="B2781" t="s">
        <v>95</v>
      </c>
      <c r="C2781" t="s">
        <v>96</v>
      </c>
      <c r="D2781" s="8">
        <v>251.76</v>
      </c>
    </row>
    <row r="2782" spans="1:4" x14ac:dyDescent="0.45">
      <c r="A2782" s="7">
        <v>45759</v>
      </c>
      <c r="B2782" t="s">
        <v>95</v>
      </c>
      <c r="C2782" t="s">
        <v>105</v>
      </c>
      <c r="D2782" s="8">
        <v>414.35</v>
      </c>
    </row>
    <row r="2783" spans="1:4" x14ac:dyDescent="0.45">
      <c r="A2783" s="7">
        <v>45896</v>
      </c>
      <c r="B2783" t="s">
        <v>97</v>
      </c>
      <c r="C2783" t="s">
        <v>101</v>
      </c>
      <c r="D2783" s="8">
        <v>334.78</v>
      </c>
    </row>
    <row r="2784" spans="1:4" x14ac:dyDescent="0.45">
      <c r="A2784" s="7">
        <v>45656</v>
      </c>
      <c r="B2784" t="s">
        <v>93</v>
      </c>
      <c r="C2784" t="s">
        <v>94</v>
      </c>
      <c r="D2784" s="8">
        <v>97.2</v>
      </c>
    </row>
    <row r="2785" spans="1:4" x14ac:dyDescent="0.45">
      <c r="A2785" s="7">
        <v>45295</v>
      </c>
      <c r="B2785" t="s">
        <v>93</v>
      </c>
      <c r="C2785" t="s">
        <v>94</v>
      </c>
      <c r="D2785" s="8">
        <v>114.72</v>
      </c>
    </row>
    <row r="2786" spans="1:4" x14ac:dyDescent="0.45">
      <c r="A2786" s="7">
        <v>45643</v>
      </c>
      <c r="B2786" t="s">
        <v>93</v>
      </c>
      <c r="C2786" t="s">
        <v>106</v>
      </c>
      <c r="D2786" s="8">
        <v>-44.18</v>
      </c>
    </row>
    <row r="2787" spans="1:4" x14ac:dyDescent="0.45">
      <c r="A2787" s="7">
        <v>45404</v>
      </c>
      <c r="B2787" t="s">
        <v>97</v>
      </c>
      <c r="C2787" t="s">
        <v>98</v>
      </c>
      <c r="D2787" s="8">
        <v>98.92</v>
      </c>
    </row>
    <row r="2788" spans="1:4" x14ac:dyDescent="0.45">
      <c r="A2788" s="7">
        <v>45470</v>
      </c>
      <c r="B2788" t="s">
        <v>95</v>
      </c>
      <c r="C2788" t="s">
        <v>96</v>
      </c>
      <c r="D2788" s="8">
        <v>5.92</v>
      </c>
    </row>
    <row r="2789" spans="1:4" x14ac:dyDescent="0.45">
      <c r="A2789" s="7">
        <v>45297</v>
      </c>
      <c r="B2789" t="s">
        <v>95</v>
      </c>
      <c r="C2789" t="s">
        <v>108</v>
      </c>
      <c r="D2789" s="8">
        <v>490.78</v>
      </c>
    </row>
    <row r="2790" spans="1:4" x14ac:dyDescent="0.45">
      <c r="A2790" s="7">
        <v>45992</v>
      </c>
      <c r="B2790" t="s">
        <v>97</v>
      </c>
      <c r="C2790" t="s">
        <v>101</v>
      </c>
      <c r="D2790" s="8">
        <v>478.14</v>
      </c>
    </row>
    <row r="2791" spans="1:4" x14ac:dyDescent="0.45">
      <c r="A2791" s="7">
        <v>46036</v>
      </c>
      <c r="B2791" t="s">
        <v>93</v>
      </c>
      <c r="C2791" t="s">
        <v>94</v>
      </c>
      <c r="D2791" s="8">
        <v>255.53</v>
      </c>
    </row>
    <row r="2792" spans="1:4" x14ac:dyDescent="0.45">
      <c r="A2792" s="7">
        <v>45846</v>
      </c>
      <c r="B2792" t="s">
        <v>97</v>
      </c>
      <c r="C2792" t="s">
        <v>98</v>
      </c>
      <c r="D2792" s="8">
        <v>168.45</v>
      </c>
    </row>
    <row r="2793" spans="1:4" x14ac:dyDescent="0.45">
      <c r="A2793" s="7">
        <v>45814</v>
      </c>
      <c r="B2793" t="s">
        <v>97</v>
      </c>
      <c r="C2793" t="s">
        <v>104</v>
      </c>
      <c r="D2793" s="8">
        <v>98.54</v>
      </c>
    </row>
    <row r="2794" spans="1:4" x14ac:dyDescent="0.45">
      <c r="A2794" s="7">
        <v>46081</v>
      </c>
      <c r="B2794" t="s">
        <v>95</v>
      </c>
      <c r="C2794" t="s">
        <v>96</v>
      </c>
      <c r="D2794" s="8">
        <v>358.67</v>
      </c>
    </row>
    <row r="2795" spans="1:4" x14ac:dyDescent="0.45">
      <c r="A2795" s="7">
        <v>45827</v>
      </c>
      <c r="B2795" t="s">
        <v>93</v>
      </c>
      <c r="C2795" t="s">
        <v>100</v>
      </c>
      <c r="D2795" s="8">
        <v>393.82</v>
      </c>
    </row>
    <row r="2796" spans="1:4" x14ac:dyDescent="0.45">
      <c r="A2796" s="7">
        <v>45590</v>
      </c>
      <c r="B2796" t="s">
        <v>97</v>
      </c>
      <c r="C2796" t="s">
        <v>101</v>
      </c>
      <c r="D2796" s="8">
        <v>180.09</v>
      </c>
    </row>
    <row r="2797" spans="1:4" x14ac:dyDescent="0.45">
      <c r="A2797" s="7">
        <v>45565</v>
      </c>
      <c r="B2797" t="s">
        <v>95</v>
      </c>
      <c r="C2797" t="s">
        <v>99</v>
      </c>
      <c r="D2797" s="8">
        <v>164.79</v>
      </c>
    </row>
    <row r="2798" spans="1:4" x14ac:dyDescent="0.45">
      <c r="A2798" s="7">
        <v>45351</v>
      </c>
      <c r="B2798" t="s">
        <v>93</v>
      </c>
      <c r="C2798" t="s">
        <v>94</v>
      </c>
      <c r="D2798" s="8">
        <v>205.88</v>
      </c>
    </row>
    <row r="2799" spans="1:4" x14ac:dyDescent="0.45">
      <c r="A2799" s="7">
        <v>45482</v>
      </c>
      <c r="B2799" t="s">
        <v>97</v>
      </c>
      <c r="C2799" t="s">
        <v>107</v>
      </c>
      <c r="D2799" s="8">
        <v>-71.989999999999995</v>
      </c>
    </row>
    <row r="2800" spans="1:4" x14ac:dyDescent="0.45">
      <c r="A2800" s="7">
        <v>45738</v>
      </c>
      <c r="B2800" t="s">
        <v>95</v>
      </c>
      <c r="C2800" t="s">
        <v>102</v>
      </c>
      <c r="D2800" s="8">
        <v>276.32</v>
      </c>
    </row>
    <row r="2801" spans="1:4" x14ac:dyDescent="0.45">
      <c r="A2801" s="7">
        <v>45670</v>
      </c>
      <c r="B2801" t="s">
        <v>93</v>
      </c>
      <c r="C2801" t="s">
        <v>103</v>
      </c>
      <c r="D2801" s="8">
        <v>315.74</v>
      </c>
    </row>
    <row r="2802" spans="1:4" x14ac:dyDescent="0.45">
      <c r="A2802" s="7">
        <v>45764</v>
      </c>
      <c r="B2802" t="s">
        <v>97</v>
      </c>
      <c r="C2802" t="s">
        <v>101</v>
      </c>
      <c r="D2802" s="8">
        <v>340.37</v>
      </c>
    </row>
    <row r="2803" spans="1:4" x14ac:dyDescent="0.45">
      <c r="A2803" s="7">
        <v>45363</v>
      </c>
      <c r="B2803" t="s">
        <v>95</v>
      </c>
      <c r="C2803" t="s">
        <v>105</v>
      </c>
      <c r="D2803" s="8">
        <v>32.92</v>
      </c>
    </row>
    <row r="2804" spans="1:4" x14ac:dyDescent="0.45">
      <c r="A2804" s="7">
        <v>45375</v>
      </c>
      <c r="B2804" t="s">
        <v>95</v>
      </c>
      <c r="C2804" t="s">
        <v>96</v>
      </c>
      <c r="D2804" s="8">
        <v>-61.61</v>
      </c>
    </row>
    <row r="2805" spans="1:4" x14ac:dyDescent="0.45">
      <c r="A2805" s="7">
        <v>45491</v>
      </c>
      <c r="B2805" t="s">
        <v>97</v>
      </c>
      <c r="C2805" t="s">
        <v>98</v>
      </c>
      <c r="D2805" s="8">
        <v>-145.13</v>
      </c>
    </row>
    <row r="2806" spans="1:4" x14ac:dyDescent="0.45">
      <c r="A2806" s="7">
        <v>45404</v>
      </c>
      <c r="B2806" t="s">
        <v>95</v>
      </c>
      <c r="C2806" t="s">
        <v>99</v>
      </c>
      <c r="D2806" s="8">
        <v>103.6</v>
      </c>
    </row>
    <row r="2807" spans="1:4" x14ac:dyDescent="0.45">
      <c r="A2807" s="7">
        <v>46134</v>
      </c>
      <c r="B2807" t="s">
        <v>93</v>
      </c>
      <c r="C2807" t="s">
        <v>106</v>
      </c>
      <c r="D2807" s="8">
        <v>281.45</v>
      </c>
    </row>
    <row r="2808" spans="1:4" x14ac:dyDescent="0.45">
      <c r="A2808" s="7">
        <v>46160</v>
      </c>
      <c r="B2808" t="s">
        <v>95</v>
      </c>
      <c r="C2808" t="s">
        <v>99</v>
      </c>
      <c r="D2808" s="8">
        <v>200.7</v>
      </c>
    </row>
    <row r="2809" spans="1:4" x14ac:dyDescent="0.45">
      <c r="A2809" s="7">
        <v>45394</v>
      </c>
      <c r="B2809" t="s">
        <v>97</v>
      </c>
      <c r="C2809" t="s">
        <v>104</v>
      </c>
      <c r="D2809" s="8">
        <v>444.08</v>
      </c>
    </row>
    <row r="2810" spans="1:4" x14ac:dyDescent="0.45">
      <c r="A2810" s="7">
        <v>45623</v>
      </c>
      <c r="B2810" t="s">
        <v>97</v>
      </c>
      <c r="C2810" t="s">
        <v>104</v>
      </c>
      <c r="D2810" s="8">
        <v>-18.350000000000001</v>
      </c>
    </row>
    <row r="2811" spans="1:4" x14ac:dyDescent="0.45">
      <c r="A2811" s="7">
        <v>45590</v>
      </c>
      <c r="B2811" t="s">
        <v>95</v>
      </c>
      <c r="C2811" t="s">
        <v>105</v>
      </c>
      <c r="D2811" s="8">
        <v>376.09</v>
      </c>
    </row>
    <row r="2812" spans="1:4" x14ac:dyDescent="0.45">
      <c r="A2812" s="7">
        <v>45984</v>
      </c>
      <c r="B2812" t="s">
        <v>97</v>
      </c>
      <c r="C2812" t="s">
        <v>101</v>
      </c>
      <c r="D2812" s="8">
        <v>-80.010000000000005</v>
      </c>
    </row>
    <row r="2813" spans="1:4" x14ac:dyDescent="0.45">
      <c r="A2813" s="7">
        <v>45780</v>
      </c>
      <c r="B2813" t="s">
        <v>97</v>
      </c>
      <c r="C2813" t="s">
        <v>98</v>
      </c>
      <c r="D2813" s="8">
        <v>-108.92</v>
      </c>
    </row>
    <row r="2814" spans="1:4" x14ac:dyDescent="0.45">
      <c r="A2814" s="7">
        <v>45844</v>
      </c>
      <c r="B2814" t="s">
        <v>93</v>
      </c>
      <c r="C2814" t="s">
        <v>106</v>
      </c>
      <c r="D2814" s="8">
        <v>306.83</v>
      </c>
    </row>
    <row r="2815" spans="1:4" x14ac:dyDescent="0.45">
      <c r="A2815" s="7">
        <v>45872</v>
      </c>
      <c r="B2815" t="s">
        <v>95</v>
      </c>
      <c r="C2815" t="s">
        <v>102</v>
      </c>
      <c r="D2815" s="8">
        <v>-59.18</v>
      </c>
    </row>
    <row r="2816" spans="1:4" x14ac:dyDescent="0.45">
      <c r="A2816" s="7">
        <v>45835</v>
      </c>
      <c r="B2816" t="s">
        <v>97</v>
      </c>
      <c r="C2816" t="s">
        <v>101</v>
      </c>
      <c r="D2816" s="8">
        <v>363.02</v>
      </c>
    </row>
    <row r="2817" spans="1:4" x14ac:dyDescent="0.45">
      <c r="A2817" s="7">
        <v>45902</v>
      </c>
      <c r="B2817" t="s">
        <v>95</v>
      </c>
      <c r="C2817" t="s">
        <v>109</v>
      </c>
      <c r="D2817" s="8">
        <v>217.44</v>
      </c>
    </row>
    <row r="2818" spans="1:4" x14ac:dyDescent="0.45">
      <c r="A2818" s="7">
        <v>45653</v>
      </c>
      <c r="B2818" t="s">
        <v>97</v>
      </c>
      <c r="C2818" t="s">
        <v>101</v>
      </c>
      <c r="D2818" s="8">
        <v>-139.79</v>
      </c>
    </row>
    <row r="2819" spans="1:4" x14ac:dyDescent="0.45">
      <c r="A2819" s="7">
        <v>45874</v>
      </c>
      <c r="B2819" t="s">
        <v>95</v>
      </c>
      <c r="C2819" t="s">
        <v>99</v>
      </c>
      <c r="D2819" s="8">
        <v>-60.64</v>
      </c>
    </row>
    <row r="2820" spans="1:4" x14ac:dyDescent="0.45">
      <c r="A2820" s="7">
        <v>45718</v>
      </c>
      <c r="B2820" t="s">
        <v>97</v>
      </c>
      <c r="C2820" t="s">
        <v>104</v>
      </c>
      <c r="D2820" s="8">
        <v>-1.1100000000000001</v>
      </c>
    </row>
    <row r="2821" spans="1:4" x14ac:dyDescent="0.45">
      <c r="A2821" s="7">
        <v>45518</v>
      </c>
      <c r="B2821" t="s">
        <v>93</v>
      </c>
      <c r="C2821" t="s">
        <v>100</v>
      </c>
      <c r="D2821" s="8">
        <v>139.91999999999999</v>
      </c>
    </row>
    <row r="2822" spans="1:4" x14ac:dyDescent="0.45">
      <c r="A2822" s="7">
        <v>46154</v>
      </c>
      <c r="B2822" t="s">
        <v>97</v>
      </c>
      <c r="C2822" t="s">
        <v>107</v>
      </c>
      <c r="D2822" s="8">
        <v>142.78</v>
      </c>
    </row>
    <row r="2823" spans="1:4" x14ac:dyDescent="0.45">
      <c r="A2823" s="7">
        <v>45504</v>
      </c>
      <c r="B2823" t="s">
        <v>97</v>
      </c>
      <c r="C2823" t="s">
        <v>98</v>
      </c>
      <c r="D2823" s="8">
        <v>330.89</v>
      </c>
    </row>
    <row r="2824" spans="1:4" x14ac:dyDescent="0.45">
      <c r="A2824" s="7">
        <v>45469</v>
      </c>
      <c r="B2824" t="s">
        <v>93</v>
      </c>
      <c r="C2824" t="s">
        <v>103</v>
      </c>
      <c r="D2824" s="8">
        <v>466.36</v>
      </c>
    </row>
    <row r="2825" spans="1:4" x14ac:dyDescent="0.45">
      <c r="A2825" s="7">
        <v>46133</v>
      </c>
      <c r="B2825" t="s">
        <v>95</v>
      </c>
      <c r="C2825" t="s">
        <v>96</v>
      </c>
      <c r="D2825" s="8">
        <v>105.15</v>
      </c>
    </row>
    <row r="2826" spans="1:4" x14ac:dyDescent="0.45">
      <c r="A2826" s="7">
        <v>45971</v>
      </c>
      <c r="B2826" t="s">
        <v>97</v>
      </c>
      <c r="C2826" t="s">
        <v>101</v>
      </c>
      <c r="D2826" s="8">
        <v>88.97</v>
      </c>
    </row>
    <row r="2827" spans="1:4" x14ac:dyDescent="0.45">
      <c r="A2827" s="7">
        <v>45844</v>
      </c>
      <c r="B2827" t="s">
        <v>95</v>
      </c>
      <c r="C2827" t="s">
        <v>96</v>
      </c>
      <c r="D2827" s="8">
        <v>340.07</v>
      </c>
    </row>
    <row r="2828" spans="1:4" x14ac:dyDescent="0.45">
      <c r="A2828" s="7">
        <v>45519</v>
      </c>
      <c r="B2828" t="s">
        <v>97</v>
      </c>
      <c r="C2828" t="s">
        <v>104</v>
      </c>
      <c r="D2828" s="8">
        <v>-69.290000000000006</v>
      </c>
    </row>
    <row r="2829" spans="1:4" x14ac:dyDescent="0.45">
      <c r="A2829" s="7">
        <v>46096</v>
      </c>
      <c r="B2829" t="s">
        <v>95</v>
      </c>
      <c r="C2829" t="s">
        <v>109</v>
      </c>
      <c r="D2829" s="8">
        <v>149.56</v>
      </c>
    </row>
    <row r="2830" spans="1:4" x14ac:dyDescent="0.45">
      <c r="A2830" s="7">
        <v>45610</v>
      </c>
      <c r="B2830" t="s">
        <v>97</v>
      </c>
      <c r="C2830" t="s">
        <v>104</v>
      </c>
      <c r="D2830" s="8">
        <v>48.56</v>
      </c>
    </row>
    <row r="2831" spans="1:4" x14ac:dyDescent="0.45">
      <c r="A2831" s="7">
        <v>45716</v>
      </c>
      <c r="B2831" t="s">
        <v>95</v>
      </c>
      <c r="C2831" t="s">
        <v>105</v>
      </c>
      <c r="D2831" s="8">
        <v>121.15</v>
      </c>
    </row>
    <row r="2832" spans="1:4" x14ac:dyDescent="0.45">
      <c r="A2832" s="7">
        <v>45870</v>
      </c>
      <c r="B2832" t="s">
        <v>93</v>
      </c>
      <c r="C2832" t="s">
        <v>100</v>
      </c>
      <c r="D2832" s="8">
        <v>-18.899999999999999</v>
      </c>
    </row>
    <row r="2833" spans="1:4" x14ac:dyDescent="0.45">
      <c r="A2833" s="7">
        <v>46062</v>
      </c>
      <c r="B2833" t="s">
        <v>93</v>
      </c>
      <c r="C2833" t="s">
        <v>106</v>
      </c>
      <c r="D2833" s="8">
        <v>172.53</v>
      </c>
    </row>
    <row r="2834" spans="1:4" x14ac:dyDescent="0.45">
      <c r="A2834" s="7">
        <v>45741</v>
      </c>
      <c r="B2834" t="s">
        <v>97</v>
      </c>
      <c r="C2834" t="s">
        <v>98</v>
      </c>
      <c r="D2834" s="8">
        <v>250.41</v>
      </c>
    </row>
    <row r="2835" spans="1:4" x14ac:dyDescent="0.45">
      <c r="A2835" s="7">
        <v>45645</v>
      </c>
      <c r="B2835" t="s">
        <v>95</v>
      </c>
      <c r="C2835" t="s">
        <v>105</v>
      </c>
      <c r="D2835" s="8">
        <v>-5.75</v>
      </c>
    </row>
    <row r="2836" spans="1:4" x14ac:dyDescent="0.45">
      <c r="A2836" s="7">
        <v>45557</v>
      </c>
      <c r="B2836" t="s">
        <v>97</v>
      </c>
      <c r="C2836" t="s">
        <v>104</v>
      </c>
      <c r="D2836" s="8">
        <v>487.44</v>
      </c>
    </row>
    <row r="2837" spans="1:4" x14ac:dyDescent="0.45">
      <c r="A2837" s="7">
        <v>45982</v>
      </c>
      <c r="B2837" t="s">
        <v>93</v>
      </c>
      <c r="C2837" t="s">
        <v>106</v>
      </c>
      <c r="D2837" s="8">
        <v>94.19</v>
      </c>
    </row>
    <row r="2838" spans="1:4" x14ac:dyDescent="0.45">
      <c r="A2838" s="7">
        <v>46145</v>
      </c>
      <c r="B2838" t="s">
        <v>97</v>
      </c>
      <c r="C2838" t="s">
        <v>107</v>
      </c>
      <c r="D2838" s="8">
        <v>120.92</v>
      </c>
    </row>
    <row r="2839" spans="1:4" x14ac:dyDescent="0.45">
      <c r="A2839" s="7">
        <v>45824</v>
      </c>
      <c r="B2839" t="s">
        <v>95</v>
      </c>
      <c r="C2839" t="s">
        <v>109</v>
      </c>
      <c r="D2839" s="8">
        <v>-22.97</v>
      </c>
    </row>
    <row r="2840" spans="1:4" x14ac:dyDescent="0.45">
      <c r="A2840" s="7">
        <v>45873</v>
      </c>
      <c r="B2840" t="s">
        <v>93</v>
      </c>
      <c r="C2840" t="s">
        <v>106</v>
      </c>
      <c r="D2840" s="8">
        <v>60.01</v>
      </c>
    </row>
    <row r="2841" spans="1:4" x14ac:dyDescent="0.45">
      <c r="A2841" s="7">
        <v>45873</v>
      </c>
      <c r="B2841" t="s">
        <v>97</v>
      </c>
      <c r="C2841" t="s">
        <v>98</v>
      </c>
      <c r="D2841" s="8">
        <v>65.989999999999995</v>
      </c>
    </row>
    <row r="2842" spans="1:4" x14ac:dyDescent="0.45">
      <c r="A2842" s="7">
        <v>45920</v>
      </c>
      <c r="B2842" t="s">
        <v>97</v>
      </c>
      <c r="C2842" t="s">
        <v>98</v>
      </c>
      <c r="D2842" s="8">
        <v>391.03</v>
      </c>
    </row>
    <row r="2843" spans="1:4" x14ac:dyDescent="0.45">
      <c r="A2843" s="7">
        <v>46041</v>
      </c>
      <c r="B2843" t="s">
        <v>93</v>
      </c>
      <c r="C2843" t="s">
        <v>100</v>
      </c>
      <c r="D2843" s="8">
        <v>-27.41</v>
      </c>
    </row>
    <row r="2844" spans="1:4" x14ac:dyDescent="0.45">
      <c r="A2844" s="7">
        <v>45713</v>
      </c>
      <c r="B2844" t="s">
        <v>95</v>
      </c>
      <c r="C2844" t="s">
        <v>99</v>
      </c>
      <c r="D2844" s="8">
        <v>368.04</v>
      </c>
    </row>
    <row r="2845" spans="1:4" x14ac:dyDescent="0.45">
      <c r="A2845" s="7">
        <v>45661</v>
      </c>
      <c r="B2845" t="s">
        <v>95</v>
      </c>
      <c r="C2845" t="s">
        <v>96</v>
      </c>
      <c r="D2845" s="8">
        <v>459</v>
      </c>
    </row>
    <row r="2846" spans="1:4" x14ac:dyDescent="0.45">
      <c r="A2846" s="7">
        <v>46137</v>
      </c>
      <c r="B2846" t="s">
        <v>95</v>
      </c>
      <c r="C2846" t="s">
        <v>96</v>
      </c>
      <c r="D2846" s="8">
        <v>467.77</v>
      </c>
    </row>
    <row r="2847" spans="1:4" x14ac:dyDescent="0.45">
      <c r="A2847" s="7">
        <v>45783</v>
      </c>
      <c r="B2847" t="s">
        <v>93</v>
      </c>
      <c r="C2847" t="s">
        <v>94</v>
      </c>
      <c r="D2847" s="8">
        <v>-21.03</v>
      </c>
    </row>
    <row r="2848" spans="1:4" x14ac:dyDescent="0.45">
      <c r="A2848" s="7">
        <v>45378</v>
      </c>
      <c r="B2848" t="s">
        <v>97</v>
      </c>
      <c r="C2848" t="s">
        <v>101</v>
      </c>
      <c r="D2848" s="8">
        <v>-23.91</v>
      </c>
    </row>
    <row r="2849" spans="1:4" x14ac:dyDescent="0.45">
      <c r="A2849" s="7">
        <v>45373</v>
      </c>
      <c r="B2849" t="s">
        <v>93</v>
      </c>
      <c r="C2849" t="s">
        <v>94</v>
      </c>
      <c r="D2849" s="8">
        <v>-63.79</v>
      </c>
    </row>
    <row r="2850" spans="1:4" x14ac:dyDescent="0.45">
      <c r="A2850" s="7">
        <v>46067</v>
      </c>
      <c r="B2850" t="s">
        <v>97</v>
      </c>
      <c r="C2850" t="s">
        <v>98</v>
      </c>
      <c r="D2850" s="8">
        <v>354.03</v>
      </c>
    </row>
    <row r="2851" spans="1:4" x14ac:dyDescent="0.45">
      <c r="A2851" s="7">
        <v>45476</v>
      </c>
      <c r="B2851" t="s">
        <v>93</v>
      </c>
      <c r="C2851" t="s">
        <v>100</v>
      </c>
      <c r="D2851" s="8">
        <v>-143.97</v>
      </c>
    </row>
    <row r="2852" spans="1:4" x14ac:dyDescent="0.45">
      <c r="A2852" s="7">
        <v>45987</v>
      </c>
      <c r="B2852" t="s">
        <v>95</v>
      </c>
      <c r="C2852" t="s">
        <v>96</v>
      </c>
      <c r="D2852" s="8">
        <v>243.36</v>
      </c>
    </row>
    <row r="2853" spans="1:4" x14ac:dyDescent="0.45">
      <c r="A2853" s="7">
        <v>45761</v>
      </c>
      <c r="B2853" t="s">
        <v>95</v>
      </c>
      <c r="C2853" t="s">
        <v>108</v>
      </c>
      <c r="D2853" s="8">
        <v>7.23</v>
      </c>
    </row>
    <row r="2854" spans="1:4" x14ac:dyDescent="0.45">
      <c r="A2854" s="7">
        <v>46085</v>
      </c>
      <c r="B2854" t="s">
        <v>93</v>
      </c>
      <c r="C2854" t="s">
        <v>100</v>
      </c>
      <c r="D2854" s="8">
        <v>54.16</v>
      </c>
    </row>
    <row r="2855" spans="1:4" x14ac:dyDescent="0.45">
      <c r="A2855" s="7">
        <v>46092</v>
      </c>
      <c r="B2855" t="s">
        <v>95</v>
      </c>
      <c r="C2855" t="s">
        <v>99</v>
      </c>
      <c r="D2855" s="8">
        <v>437.34</v>
      </c>
    </row>
    <row r="2856" spans="1:4" x14ac:dyDescent="0.45">
      <c r="A2856" s="7">
        <v>45782</v>
      </c>
      <c r="B2856" t="s">
        <v>97</v>
      </c>
      <c r="C2856" t="s">
        <v>104</v>
      </c>
      <c r="D2856" s="8">
        <v>122.53</v>
      </c>
    </row>
    <row r="2857" spans="1:4" x14ac:dyDescent="0.45">
      <c r="A2857" s="7">
        <v>45831</v>
      </c>
      <c r="B2857" t="s">
        <v>97</v>
      </c>
      <c r="C2857" t="s">
        <v>107</v>
      </c>
      <c r="D2857" s="8">
        <v>246.48</v>
      </c>
    </row>
    <row r="2858" spans="1:4" x14ac:dyDescent="0.45">
      <c r="A2858" s="7">
        <v>45506</v>
      </c>
      <c r="B2858" t="s">
        <v>97</v>
      </c>
      <c r="C2858" t="s">
        <v>104</v>
      </c>
      <c r="D2858" s="8">
        <v>-23.7</v>
      </c>
    </row>
    <row r="2859" spans="1:4" x14ac:dyDescent="0.45">
      <c r="A2859" s="7">
        <v>45940</v>
      </c>
      <c r="B2859" t="s">
        <v>97</v>
      </c>
      <c r="C2859" t="s">
        <v>104</v>
      </c>
      <c r="D2859" s="8">
        <v>464.91</v>
      </c>
    </row>
    <row r="2860" spans="1:4" x14ac:dyDescent="0.45">
      <c r="A2860" s="7">
        <v>45504</v>
      </c>
      <c r="B2860" t="s">
        <v>93</v>
      </c>
      <c r="C2860" t="s">
        <v>103</v>
      </c>
      <c r="D2860" s="8">
        <v>360.64</v>
      </c>
    </row>
    <row r="2861" spans="1:4" x14ac:dyDescent="0.45">
      <c r="A2861" s="7">
        <v>45328</v>
      </c>
      <c r="B2861" t="s">
        <v>93</v>
      </c>
      <c r="C2861" t="s">
        <v>94</v>
      </c>
      <c r="D2861" s="8">
        <v>56.51</v>
      </c>
    </row>
    <row r="2862" spans="1:4" x14ac:dyDescent="0.45">
      <c r="A2862" s="7">
        <v>46100</v>
      </c>
      <c r="B2862" t="s">
        <v>95</v>
      </c>
      <c r="C2862" t="s">
        <v>96</v>
      </c>
      <c r="D2862" s="8">
        <v>339.42</v>
      </c>
    </row>
    <row r="2863" spans="1:4" x14ac:dyDescent="0.45">
      <c r="A2863" s="7">
        <v>46075</v>
      </c>
      <c r="B2863" t="s">
        <v>97</v>
      </c>
      <c r="C2863" t="s">
        <v>98</v>
      </c>
      <c r="D2863" s="8">
        <v>446.41</v>
      </c>
    </row>
    <row r="2864" spans="1:4" x14ac:dyDescent="0.45">
      <c r="A2864" s="7">
        <v>45967</v>
      </c>
      <c r="B2864" t="s">
        <v>93</v>
      </c>
      <c r="C2864" t="s">
        <v>103</v>
      </c>
      <c r="D2864" s="8">
        <v>462.01</v>
      </c>
    </row>
    <row r="2865" spans="1:4" x14ac:dyDescent="0.45">
      <c r="A2865" s="7">
        <v>45733</v>
      </c>
      <c r="B2865" t="s">
        <v>93</v>
      </c>
      <c r="C2865" t="s">
        <v>100</v>
      </c>
      <c r="D2865" s="8">
        <v>395.95</v>
      </c>
    </row>
    <row r="2866" spans="1:4" x14ac:dyDescent="0.45">
      <c r="A2866" s="7">
        <v>45761</v>
      </c>
      <c r="B2866" t="s">
        <v>93</v>
      </c>
      <c r="C2866" t="s">
        <v>106</v>
      </c>
      <c r="D2866" s="8">
        <v>-32.270000000000003</v>
      </c>
    </row>
    <row r="2867" spans="1:4" x14ac:dyDescent="0.45">
      <c r="A2867" s="7">
        <v>45617</v>
      </c>
      <c r="B2867" t="s">
        <v>93</v>
      </c>
      <c r="C2867" t="s">
        <v>103</v>
      </c>
      <c r="D2867" s="8">
        <v>309.70999999999998</v>
      </c>
    </row>
    <row r="2868" spans="1:4" x14ac:dyDescent="0.45">
      <c r="A2868" s="7">
        <v>45996</v>
      </c>
      <c r="B2868" t="s">
        <v>93</v>
      </c>
      <c r="C2868" t="s">
        <v>94</v>
      </c>
      <c r="D2868" s="8">
        <v>121.4</v>
      </c>
    </row>
    <row r="2869" spans="1:4" x14ac:dyDescent="0.45">
      <c r="A2869" s="7">
        <v>45434</v>
      </c>
      <c r="B2869" t="s">
        <v>97</v>
      </c>
      <c r="C2869" t="s">
        <v>101</v>
      </c>
      <c r="D2869" s="8">
        <v>230.02</v>
      </c>
    </row>
    <row r="2870" spans="1:4" x14ac:dyDescent="0.45">
      <c r="A2870" s="7">
        <v>46188</v>
      </c>
      <c r="B2870" t="s">
        <v>97</v>
      </c>
      <c r="C2870" t="s">
        <v>104</v>
      </c>
      <c r="D2870" s="8">
        <v>98.81</v>
      </c>
    </row>
    <row r="2871" spans="1:4" x14ac:dyDescent="0.45">
      <c r="A2871" s="7">
        <v>46138</v>
      </c>
      <c r="B2871" t="s">
        <v>95</v>
      </c>
      <c r="C2871" t="s">
        <v>102</v>
      </c>
      <c r="D2871" s="8">
        <v>409.96</v>
      </c>
    </row>
    <row r="2872" spans="1:4" x14ac:dyDescent="0.45">
      <c r="A2872" s="7">
        <v>45359</v>
      </c>
      <c r="B2872" t="s">
        <v>95</v>
      </c>
      <c r="C2872" t="s">
        <v>108</v>
      </c>
      <c r="D2872" s="8">
        <v>287.83</v>
      </c>
    </row>
    <row r="2873" spans="1:4" x14ac:dyDescent="0.45">
      <c r="A2873" s="7">
        <v>45631</v>
      </c>
      <c r="B2873" t="s">
        <v>97</v>
      </c>
      <c r="C2873" t="s">
        <v>104</v>
      </c>
      <c r="D2873" s="8">
        <v>48.47</v>
      </c>
    </row>
    <row r="2874" spans="1:4" x14ac:dyDescent="0.45">
      <c r="A2874" s="7">
        <v>45344</v>
      </c>
      <c r="B2874" t="s">
        <v>93</v>
      </c>
      <c r="C2874" t="s">
        <v>103</v>
      </c>
      <c r="D2874" s="8">
        <v>427.84</v>
      </c>
    </row>
    <row r="2875" spans="1:4" x14ac:dyDescent="0.45">
      <c r="A2875" s="7">
        <v>45505</v>
      </c>
      <c r="B2875" t="s">
        <v>93</v>
      </c>
      <c r="C2875" t="s">
        <v>100</v>
      </c>
      <c r="D2875" s="8">
        <v>-54.32</v>
      </c>
    </row>
    <row r="2876" spans="1:4" x14ac:dyDescent="0.45">
      <c r="A2876" s="7">
        <v>45654</v>
      </c>
      <c r="B2876" t="s">
        <v>97</v>
      </c>
      <c r="C2876" t="s">
        <v>98</v>
      </c>
      <c r="D2876" s="8">
        <v>417.83</v>
      </c>
    </row>
    <row r="2877" spans="1:4" x14ac:dyDescent="0.45">
      <c r="A2877" s="7">
        <v>45765</v>
      </c>
      <c r="B2877" t="s">
        <v>97</v>
      </c>
      <c r="C2877" t="s">
        <v>104</v>
      </c>
      <c r="D2877" s="8">
        <v>333.99</v>
      </c>
    </row>
    <row r="2878" spans="1:4" x14ac:dyDescent="0.45">
      <c r="A2878" s="7">
        <v>45907</v>
      </c>
      <c r="B2878" t="s">
        <v>93</v>
      </c>
      <c r="C2878" t="s">
        <v>100</v>
      </c>
      <c r="D2878" s="8">
        <v>406.25</v>
      </c>
    </row>
    <row r="2879" spans="1:4" x14ac:dyDescent="0.45">
      <c r="A2879" s="7">
        <v>45480</v>
      </c>
      <c r="B2879" t="s">
        <v>97</v>
      </c>
      <c r="C2879" t="s">
        <v>101</v>
      </c>
      <c r="D2879" s="8">
        <v>353.37</v>
      </c>
    </row>
    <row r="2880" spans="1:4" x14ac:dyDescent="0.45">
      <c r="A2880" s="7">
        <v>45887</v>
      </c>
      <c r="B2880" t="s">
        <v>95</v>
      </c>
      <c r="C2880" t="s">
        <v>99</v>
      </c>
      <c r="D2880" s="8">
        <v>25.43</v>
      </c>
    </row>
    <row r="2881" spans="1:4" x14ac:dyDescent="0.45">
      <c r="A2881" s="7">
        <v>45918</v>
      </c>
      <c r="B2881" t="s">
        <v>93</v>
      </c>
      <c r="C2881" t="s">
        <v>106</v>
      </c>
      <c r="D2881" s="8">
        <v>-20.2</v>
      </c>
    </row>
    <row r="2882" spans="1:4" x14ac:dyDescent="0.45">
      <c r="A2882" s="7">
        <v>45991</v>
      </c>
      <c r="B2882" t="s">
        <v>97</v>
      </c>
      <c r="C2882" t="s">
        <v>98</v>
      </c>
      <c r="D2882" s="8">
        <v>-27.28</v>
      </c>
    </row>
    <row r="2883" spans="1:4" x14ac:dyDescent="0.45">
      <c r="A2883" s="7">
        <v>45653</v>
      </c>
      <c r="B2883" t="s">
        <v>95</v>
      </c>
      <c r="C2883" t="s">
        <v>99</v>
      </c>
      <c r="D2883" s="8">
        <v>159.1</v>
      </c>
    </row>
    <row r="2884" spans="1:4" x14ac:dyDescent="0.45">
      <c r="A2884" s="7">
        <v>45564</v>
      </c>
      <c r="B2884" t="s">
        <v>93</v>
      </c>
      <c r="C2884" t="s">
        <v>106</v>
      </c>
      <c r="D2884" s="8">
        <v>407.28</v>
      </c>
    </row>
    <row r="2885" spans="1:4" x14ac:dyDescent="0.45">
      <c r="A2885" s="7">
        <v>45816</v>
      </c>
      <c r="B2885" t="s">
        <v>95</v>
      </c>
      <c r="C2885" t="s">
        <v>105</v>
      </c>
      <c r="D2885" s="8">
        <v>339.83</v>
      </c>
    </row>
    <row r="2886" spans="1:4" x14ac:dyDescent="0.45">
      <c r="A2886" s="7">
        <v>45556</v>
      </c>
      <c r="B2886" t="s">
        <v>95</v>
      </c>
      <c r="C2886" t="s">
        <v>102</v>
      </c>
      <c r="D2886" s="8">
        <v>245.97</v>
      </c>
    </row>
    <row r="2887" spans="1:4" x14ac:dyDescent="0.45">
      <c r="A2887" s="7">
        <v>45575</v>
      </c>
      <c r="B2887" t="s">
        <v>97</v>
      </c>
      <c r="C2887" t="s">
        <v>107</v>
      </c>
      <c r="D2887" s="8">
        <v>170.53</v>
      </c>
    </row>
    <row r="2888" spans="1:4" x14ac:dyDescent="0.45">
      <c r="A2888" s="7">
        <v>45391</v>
      </c>
      <c r="B2888" t="s">
        <v>95</v>
      </c>
      <c r="C2888" t="s">
        <v>105</v>
      </c>
      <c r="D2888" s="8">
        <v>-30.38</v>
      </c>
    </row>
    <row r="2889" spans="1:4" x14ac:dyDescent="0.45">
      <c r="A2889" s="7">
        <v>45556</v>
      </c>
      <c r="B2889" t="s">
        <v>95</v>
      </c>
      <c r="C2889" t="s">
        <v>105</v>
      </c>
      <c r="D2889" s="8">
        <v>309.92</v>
      </c>
    </row>
    <row r="2890" spans="1:4" x14ac:dyDescent="0.45">
      <c r="A2890" s="7">
        <v>45336</v>
      </c>
      <c r="B2890" t="s">
        <v>95</v>
      </c>
      <c r="C2890" t="s">
        <v>99</v>
      </c>
      <c r="D2890" s="8">
        <v>325.24</v>
      </c>
    </row>
    <row r="2891" spans="1:4" x14ac:dyDescent="0.45">
      <c r="A2891" s="7">
        <v>46061</v>
      </c>
      <c r="B2891" t="s">
        <v>95</v>
      </c>
      <c r="C2891" t="s">
        <v>96</v>
      </c>
      <c r="D2891" s="8">
        <v>448.46</v>
      </c>
    </row>
    <row r="2892" spans="1:4" x14ac:dyDescent="0.45">
      <c r="A2892" s="7">
        <v>45444</v>
      </c>
      <c r="B2892" t="s">
        <v>97</v>
      </c>
      <c r="C2892" t="s">
        <v>98</v>
      </c>
      <c r="D2892" s="8">
        <v>397.98</v>
      </c>
    </row>
    <row r="2893" spans="1:4" x14ac:dyDescent="0.45">
      <c r="A2893" s="7">
        <v>46088</v>
      </c>
      <c r="B2893" t="s">
        <v>95</v>
      </c>
      <c r="C2893" t="s">
        <v>102</v>
      </c>
      <c r="D2893" s="8">
        <v>122.86</v>
      </c>
    </row>
    <row r="2894" spans="1:4" x14ac:dyDescent="0.45">
      <c r="A2894" s="7">
        <v>45627</v>
      </c>
      <c r="B2894" t="s">
        <v>97</v>
      </c>
      <c r="C2894" t="s">
        <v>101</v>
      </c>
      <c r="D2894" s="8">
        <v>270.77999999999997</v>
      </c>
    </row>
    <row r="2895" spans="1:4" x14ac:dyDescent="0.45">
      <c r="A2895" s="7">
        <v>45448</v>
      </c>
      <c r="B2895" t="s">
        <v>95</v>
      </c>
      <c r="C2895" t="s">
        <v>102</v>
      </c>
      <c r="D2895" s="8">
        <v>395.49</v>
      </c>
    </row>
    <row r="2896" spans="1:4" x14ac:dyDescent="0.45">
      <c r="A2896" s="7">
        <v>45702</v>
      </c>
      <c r="B2896" t="s">
        <v>95</v>
      </c>
      <c r="C2896" t="s">
        <v>109</v>
      </c>
      <c r="D2896" s="8">
        <v>-139.4</v>
      </c>
    </row>
    <row r="2897" spans="1:4" x14ac:dyDescent="0.45">
      <c r="A2897" s="7">
        <v>45763</v>
      </c>
      <c r="B2897" t="s">
        <v>95</v>
      </c>
      <c r="C2897" t="s">
        <v>96</v>
      </c>
      <c r="D2897" s="8">
        <v>394.35</v>
      </c>
    </row>
    <row r="2898" spans="1:4" x14ac:dyDescent="0.45">
      <c r="A2898" s="7">
        <v>45847</v>
      </c>
      <c r="B2898" t="s">
        <v>93</v>
      </c>
      <c r="C2898" t="s">
        <v>103</v>
      </c>
      <c r="D2898" s="8">
        <v>174.13</v>
      </c>
    </row>
    <row r="2899" spans="1:4" x14ac:dyDescent="0.45">
      <c r="A2899" s="7">
        <v>46105</v>
      </c>
      <c r="B2899" t="s">
        <v>97</v>
      </c>
      <c r="C2899" t="s">
        <v>104</v>
      </c>
      <c r="D2899" s="8">
        <v>417.44</v>
      </c>
    </row>
    <row r="2900" spans="1:4" x14ac:dyDescent="0.45">
      <c r="A2900" s="7">
        <v>45729</v>
      </c>
      <c r="B2900" t="s">
        <v>97</v>
      </c>
      <c r="C2900" t="s">
        <v>107</v>
      </c>
      <c r="D2900" s="8">
        <v>332.8</v>
      </c>
    </row>
    <row r="2901" spans="1:4" x14ac:dyDescent="0.45">
      <c r="A2901" s="7">
        <v>46186</v>
      </c>
      <c r="B2901" t="s">
        <v>95</v>
      </c>
      <c r="C2901" t="s">
        <v>102</v>
      </c>
      <c r="D2901" s="8">
        <v>418.73</v>
      </c>
    </row>
    <row r="2902" spans="1:4" x14ac:dyDescent="0.45">
      <c r="A2902" s="7">
        <v>45856</v>
      </c>
      <c r="B2902" t="s">
        <v>97</v>
      </c>
      <c r="C2902" t="s">
        <v>104</v>
      </c>
      <c r="D2902" s="8">
        <v>441.44</v>
      </c>
    </row>
    <row r="2903" spans="1:4" x14ac:dyDescent="0.45">
      <c r="A2903" s="7">
        <v>46151</v>
      </c>
      <c r="B2903" t="s">
        <v>97</v>
      </c>
      <c r="C2903" t="s">
        <v>98</v>
      </c>
      <c r="D2903" s="8">
        <v>100.96</v>
      </c>
    </row>
    <row r="2904" spans="1:4" x14ac:dyDescent="0.45">
      <c r="A2904" s="7">
        <v>46092</v>
      </c>
      <c r="B2904" t="s">
        <v>95</v>
      </c>
      <c r="C2904" t="s">
        <v>102</v>
      </c>
      <c r="D2904" s="8">
        <v>341.01</v>
      </c>
    </row>
    <row r="2905" spans="1:4" x14ac:dyDescent="0.45">
      <c r="A2905" s="7">
        <v>45959</v>
      </c>
      <c r="B2905" t="s">
        <v>95</v>
      </c>
      <c r="C2905" t="s">
        <v>105</v>
      </c>
      <c r="D2905" s="8">
        <v>287.45</v>
      </c>
    </row>
    <row r="2906" spans="1:4" x14ac:dyDescent="0.45">
      <c r="A2906" s="7">
        <v>45804</v>
      </c>
      <c r="B2906" t="s">
        <v>93</v>
      </c>
      <c r="C2906" t="s">
        <v>100</v>
      </c>
      <c r="D2906" s="8">
        <v>242.4</v>
      </c>
    </row>
    <row r="2907" spans="1:4" x14ac:dyDescent="0.45">
      <c r="A2907" s="7">
        <v>45604</v>
      </c>
      <c r="B2907" t="s">
        <v>95</v>
      </c>
      <c r="C2907" t="s">
        <v>96</v>
      </c>
      <c r="D2907" s="8">
        <v>-4.9400000000000004</v>
      </c>
    </row>
    <row r="2908" spans="1:4" x14ac:dyDescent="0.45">
      <c r="A2908" s="7">
        <v>45461</v>
      </c>
      <c r="B2908" t="s">
        <v>97</v>
      </c>
      <c r="C2908" t="s">
        <v>104</v>
      </c>
      <c r="D2908" s="8">
        <v>-47.51</v>
      </c>
    </row>
    <row r="2909" spans="1:4" x14ac:dyDescent="0.45">
      <c r="A2909" s="7">
        <v>45375</v>
      </c>
      <c r="B2909" t="s">
        <v>95</v>
      </c>
      <c r="C2909" t="s">
        <v>102</v>
      </c>
      <c r="D2909" s="8">
        <v>317.73</v>
      </c>
    </row>
    <row r="2910" spans="1:4" x14ac:dyDescent="0.45">
      <c r="A2910" s="7">
        <v>45473</v>
      </c>
      <c r="B2910" t="s">
        <v>97</v>
      </c>
      <c r="C2910" t="s">
        <v>101</v>
      </c>
      <c r="D2910" s="8">
        <v>58.46</v>
      </c>
    </row>
    <row r="2911" spans="1:4" x14ac:dyDescent="0.45">
      <c r="A2911" s="7">
        <v>45721</v>
      </c>
      <c r="B2911" t="s">
        <v>97</v>
      </c>
      <c r="C2911" t="s">
        <v>98</v>
      </c>
      <c r="D2911" s="8">
        <v>-22.13</v>
      </c>
    </row>
    <row r="2912" spans="1:4" x14ac:dyDescent="0.45">
      <c r="A2912" s="7">
        <v>45592</v>
      </c>
      <c r="B2912" t="s">
        <v>97</v>
      </c>
      <c r="C2912" t="s">
        <v>101</v>
      </c>
      <c r="D2912" s="8">
        <v>393.45</v>
      </c>
    </row>
    <row r="2913" spans="1:4" x14ac:dyDescent="0.45">
      <c r="A2913" s="7">
        <v>45576</v>
      </c>
      <c r="B2913" t="s">
        <v>93</v>
      </c>
      <c r="C2913" t="s">
        <v>106</v>
      </c>
      <c r="D2913" s="8">
        <v>387.81</v>
      </c>
    </row>
    <row r="2914" spans="1:4" x14ac:dyDescent="0.45">
      <c r="A2914" s="7">
        <v>45474</v>
      </c>
      <c r="B2914" t="s">
        <v>95</v>
      </c>
      <c r="C2914" t="s">
        <v>108</v>
      </c>
      <c r="D2914" s="8">
        <v>59.51</v>
      </c>
    </row>
    <row r="2915" spans="1:4" x14ac:dyDescent="0.45">
      <c r="A2915" s="7">
        <v>45919</v>
      </c>
      <c r="B2915" t="s">
        <v>97</v>
      </c>
      <c r="C2915" t="s">
        <v>98</v>
      </c>
      <c r="D2915" s="8">
        <v>251.35</v>
      </c>
    </row>
    <row r="2916" spans="1:4" x14ac:dyDescent="0.45">
      <c r="A2916" s="7">
        <v>45996</v>
      </c>
      <c r="B2916" t="s">
        <v>97</v>
      </c>
      <c r="C2916" t="s">
        <v>104</v>
      </c>
      <c r="D2916" s="8">
        <v>288.52999999999997</v>
      </c>
    </row>
    <row r="2917" spans="1:4" x14ac:dyDescent="0.45">
      <c r="A2917" s="7">
        <v>45966</v>
      </c>
      <c r="B2917" t="s">
        <v>95</v>
      </c>
      <c r="C2917" t="s">
        <v>99</v>
      </c>
      <c r="D2917" s="8">
        <v>432.53</v>
      </c>
    </row>
    <row r="2918" spans="1:4" x14ac:dyDescent="0.45">
      <c r="A2918" s="7">
        <v>45823</v>
      </c>
      <c r="B2918" t="s">
        <v>93</v>
      </c>
      <c r="C2918" t="s">
        <v>100</v>
      </c>
      <c r="D2918" s="8">
        <v>-40.020000000000003</v>
      </c>
    </row>
    <row r="2919" spans="1:4" x14ac:dyDescent="0.45">
      <c r="A2919" s="7">
        <v>45664</v>
      </c>
      <c r="B2919" t="s">
        <v>93</v>
      </c>
      <c r="C2919" t="s">
        <v>106</v>
      </c>
      <c r="D2919" s="8">
        <v>96.21</v>
      </c>
    </row>
    <row r="2920" spans="1:4" x14ac:dyDescent="0.45">
      <c r="A2920" s="7">
        <v>45429</v>
      </c>
      <c r="B2920" t="s">
        <v>97</v>
      </c>
      <c r="C2920" t="s">
        <v>101</v>
      </c>
      <c r="D2920" s="8">
        <v>137.58000000000001</v>
      </c>
    </row>
    <row r="2921" spans="1:4" x14ac:dyDescent="0.45">
      <c r="A2921" s="7">
        <v>45417</v>
      </c>
      <c r="B2921" t="s">
        <v>95</v>
      </c>
      <c r="C2921" t="s">
        <v>102</v>
      </c>
      <c r="D2921" s="8">
        <v>42.41</v>
      </c>
    </row>
    <row r="2922" spans="1:4" x14ac:dyDescent="0.45">
      <c r="A2922" s="7">
        <v>46052</v>
      </c>
      <c r="B2922" t="s">
        <v>97</v>
      </c>
      <c r="C2922" t="s">
        <v>104</v>
      </c>
      <c r="D2922" s="8">
        <v>-16.25</v>
      </c>
    </row>
    <row r="2923" spans="1:4" x14ac:dyDescent="0.45">
      <c r="A2923" s="7">
        <v>45664</v>
      </c>
      <c r="B2923" t="s">
        <v>93</v>
      </c>
      <c r="C2923" t="s">
        <v>100</v>
      </c>
      <c r="D2923" s="8">
        <v>195.21</v>
      </c>
    </row>
    <row r="2924" spans="1:4" x14ac:dyDescent="0.45">
      <c r="A2924" s="7">
        <v>45525</v>
      </c>
      <c r="B2924" t="s">
        <v>97</v>
      </c>
      <c r="C2924" t="s">
        <v>98</v>
      </c>
      <c r="D2924" s="8">
        <v>-59.24</v>
      </c>
    </row>
    <row r="2925" spans="1:4" x14ac:dyDescent="0.45">
      <c r="A2925" s="7">
        <v>45766</v>
      </c>
      <c r="B2925" t="s">
        <v>95</v>
      </c>
      <c r="C2925" t="s">
        <v>99</v>
      </c>
      <c r="D2925" s="8">
        <v>308.08999999999997</v>
      </c>
    </row>
    <row r="2926" spans="1:4" x14ac:dyDescent="0.45">
      <c r="A2926" s="7">
        <v>45640</v>
      </c>
      <c r="B2926" t="s">
        <v>95</v>
      </c>
      <c r="C2926" t="s">
        <v>109</v>
      </c>
      <c r="D2926" s="8">
        <v>222.34</v>
      </c>
    </row>
    <row r="2927" spans="1:4" x14ac:dyDescent="0.45">
      <c r="A2927" s="7">
        <v>45376</v>
      </c>
      <c r="B2927" t="s">
        <v>93</v>
      </c>
      <c r="C2927" t="s">
        <v>94</v>
      </c>
      <c r="D2927" s="8">
        <v>385.52</v>
      </c>
    </row>
    <row r="2928" spans="1:4" x14ac:dyDescent="0.45">
      <c r="A2928" s="7">
        <v>45361</v>
      </c>
      <c r="B2928" t="s">
        <v>95</v>
      </c>
      <c r="C2928" t="s">
        <v>105</v>
      </c>
      <c r="D2928" s="8">
        <v>323.36</v>
      </c>
    </row>
    <row r="2929" spans="1:4" x14ac:dyDescent="0.45">
      <c r="A2929" s="7">
        <v>46174</v>
      </c>
      <c r="B2929" t="s">
        <v>97</v>
      </c>
      <c r="C2929" t="s">
        <v>104</v>
      </c>
      <c r="D2929" s="8">
        <v>380.57</v>
      </c>
    </row>
    <row r="2930" spans="1:4" x14ac:dyDescent="0.45">
      <c r="A2930" s="7">
        <v>46045</v>
      </c>
      <c r="B2930" t="s">
        <v>95</v>
      </c>
      <c r="C2930" t="s">
        <v>99</v>
      </c>
      <c r="D2930" s="8">
        <v>431.04</v>
      </c>
    </row>
    <row r="2931" spans="1:4" x14ac:dyDescent="0.45">
      <c r="A2931" s="7">
        <v>46107</v>
      </c>
      <c r="B2931" t="s">
        <v>97</v>
      </c>
      <c r="C2931" t="s">
        <v>104</v>
      </c>
      <c r="D2931" s="8">
        <v>246.56</v>
      </c>
    </row>
    <row r="2932" spans="1:4" x14ac:dyDescent="0.45">
      <c r="A2932" s="7">
        <v>46099</v>
      </c>
      <c r="B2932" t="s">
        <v>97</v>
      </c>
      <c r="C2932" t="s">
        <v>98</v>
      </c>
      <c r="D2932" s="8">
        <v>-107.34</v>
      </c>
    </row>
    <row r="2933" spans="1:4" x14ac:dyDescent="0.45">
      <c r="A2933" s="7">
        <v>45340</v>
      </c>
      <c r="B2933" t="s">
        <v>93</v>
      </c>
      <c r="C2933" t="s">
        <v>106</v>
      </c>
      <c r="D2933" s="8">
        <v>144.51</v>
      </c>
    </row>
    <row r="2934" spans="1:4" x14ac:dyDescent="0.45">
      <c r="A2934" s="7">
        <v>45374</v>
      </c>
      <c r="B2934" t="s">
        <v>97</v>
      </c>
      <c r="C2934" t="s">
        <v>107</v>
      </c>
      <c r="D2934" s="8">
        <v>127.98</v>
      </c>
    </row>
    <row r="2935" spans="1:4" x14ac:dyDescent="0.45">
      <c r="A2935" s="7">
        <v>45877</v>
      </c>
      <c r="B2935" t="s">
        <v>95</v>
      </c>
      <c r="C2935" t="s">
        <v>109</v>
      </c>
      <c r="D2935" s="8">
        <v>301.20999999999998</v>
      </c>
    </row>
    <row r="2936" spans="1:4" x14ac:dyDescent="0.45">
      <c r="A2936" s="7">
        <v>45396</v>
      </c>
      <c r="B2936" t="s">
        <v>93</v>
      </c>
      <c r="C2936" t="s">
        <v>106</v>
      </c>
      <c r="D2936" s="8">
        <v>197.75</v>
      </c>
    </row>
    <row r="2937" spans="1:4" x14ac:dyDescent="0.45">
      <c r="A2937" s="7">
        <v>45555</v>
      </c>
      <c r="B2937" t="s">
        <v>97</v>
      </c>
      <c r="C2937" t="s">
        <v>98</v>
      </c>
      <c r="D2937" s="8">
        <v>299.91000000000003</v>
      </c>
    </row>
    <row r="2938" spans="1:4" x14ac:dyDescent="0.45">
      <c r="A2938" s="7">
        <v>45293</v>
      </c>
      <c r="B2938" t="s">
        <v>97</v>
      </c>
      <c r="C2938" t="s">
        <v>104</v>
      </c>
      <c r="D2938" s="8">
        <v>7.09</v>
      </c>
    </row>
    <row r="2939" spans="1:4" x14ac:dyDescent="0.45">
      <c r="A2939" s="7">
        <v>45676</v>
      </c>
      <c r="B2939" t="s">
        <v>93</v>
      </c>
      <c r="C2939" t="s">
        <v>106</v>
      </c>
      <c r="D2939" s="8">
        <v>374.75</v>
      </c>
    </row>
    <row r="2940" spans="1:4" x14ac:dyDescent="0.45">
      <c r="A2940" s="7">
        <v>46055</v>
      </c>
      <c r="B2940" t="s">
        <v>93</v>
      </c>
      <c r="C2940" t="s">
        <v>106</v>
      </c>
      <c r="D2940" s="8">
        <v>27.57</v>
      </c>
    </row>
    <row r="2941" spans="1:4" x14ac:dyDescent="0.45">
      <c r="A2941" s="7">
        <v>45923</v>
      </c>
      <c r="B2941" t="s">
        <v>97</v>
      </c>
      <c r="C2941" t="s">
        <v>98</v>
      </c>
      <c r="D2941" s="8">
        <v>62.33</v>
      </c>
    </row>
    <row r="2942" spans="1:4" x14ac:dyDescent="0.45">
      <c r="A2942" s="7">
        <v>45528</v>
      </c>
      <c r="B2942" t="s">
        <v>95</v>
      </c>
      <c r="C2942" t="s">
        <v>109</v>
      </c>
      <c r="D2942" s="8">
        <v>-53.31</v>
      </c>
    </row>
    <row r="2943" spans="1:4" x14ac:dyDescent="0.45">
      <c r="A2943" s="7">
        <v>46170</v>
      </c>
      <c r="B2943" t="s">
        <v>97</v>
      </c>
      <c r="C2943" t="s">
        <v>101</v>
      </c>
      <c r="D2943" s="8">
        <v>257.39999999999998</v>
      </c>
    </row>
    <row r="2944" spans="1:4" x14ac:dyDescent="0.45">
      <c r="A2944" s="7">
        <v>45405</v>
      </c>
      <c r="B2944" t="s">
        <v>93</v>
      </c>
      <c r="C2944" t="s">
        <v>94</v>
      </c>
      <c r="D2944" s="8">
        <v>25.18</v>
      </c>
    </row>
    <row r="2945" spans="1:4" x14ac:dyDescent="0.45">
      <c r="A2945" s="7">
        <v>46161</v>
      </c>
      <c r="B2945" t="s">
        <v>93</v>
      </c>
      <c r="C2945" t="s">
        <v>103</v>
      </c>
      <c r="D2945" s="8">
        <v>315.02</v>
      </c>
    </row>
    <row r="2946" spans="1:4" x14ac:dyDescent="0.45">
      <c r="A2946" s="7">
        <v>46059</v>
      </c>
      <c r="B2946" t="s">
        <v>93</v>
      </c>
      <c r="C2946" t="s">
        <v>103</v>
      </c>
      <c r="D2946" s="8">
        <v>389.56</v>
      </c>
    </row>
    <row r="2947" spans="1:4" x14ac:dyDescent="0.45">
      <c r="A2947" s="7">
        <v>46057</v>
      </c>
      <c r="B2947" t="s">
        <v>97</v>
      </c>
      <c r="C2947" t="s">
        <v>98</v>
      </c>
      <c r="D2947" s="8">
        <v>-143.71</v>
      </c>
    </row>
    <row r="2948" spans="1:4" x14ac:dyDescent="0.45">
      <c r="A2948" s="7">
        <v>45296</v>
      </c>
      <c r="B2948" t="s">
        <v>95</v>
      </c>
      <c r="C2948" t="s">
        <v>99</v>
      </c>
      <c r="D2948" s="8">
        <v>49.43</v>
      </c>
    </row>
    <row r="2949" spans="1:4" x14ac:dyDescent="0.45">
      <c r="A2949" s="7">
        <v>45459</v>
      </c>
      <c r="B2949" t="s">
        <v>95</v>
      </c>
      <c r="C2949" t="s">
        <v>105</v>
      </c>
      <c r="D2949" s="8">
        <v>-8.35</v>
      </c>
    </row>
    <row r="2950" spans="1:4" x14ac:dyDescent="0.45">
      <c r="A2950" s="7">
        <v>46004</v>
      </c>
      <c r="B2950" t="s">
        <v>95</v>
      </c>
      <c r="C2950" t="s">
        <v>96</v>
      </c>
      <c r="D2950" s="8">
        <v>232.45</v>
      </c>
    </row>
    <row r="2951" spans="1:4" x14ac:dyDescent="0.45">
      <c r="A2951" s="7">
        <v>45711</v>
      </c>
      <c r="B2951" t="s">
        <v>97</v>
      </c>
      <c r="C2951" t="s">
        <v>101</v>
      </c>
      <c r="D2951" s="8">
        <v>-11.33</v>
      </c>
    </row>
    <row r="2952" spans="1:4" x14ac:dyDescent="0.45">
      <c r="A2952" s="7">
        <v>46036</v>
      </c>
      <c r="B2952" t="s">
        <v>95</v>
      </c>
      <c r="C2952" t="s">
        <v>99</v>
      </c>
      <c r="D2952" s="8">
        <v>58.42</v>
      </c>
    </row>
    <row r="2953" spans="1:4" x14ac:dyDescent="0.45">
      <c r="A2953" s="7">
        <v>45842</v>
      </c>
      <c r="B2953" t="s">
        <v>97</v>
      </c>
      <c r="C2953" t="s">
        <v>104</v>
      </c>
      <c r="D2953" s="8">
        <v>357.72</v>
      </c>
    </row>
    <row r="2954" spans="1:4" x14ac:dyDescent="0.45">
      <c r="A2954" s="7">
        <v>45352</v>
      </c>
      <c r="B2954" t="s">
        <v>93</v>
      </c>
      <c r="C2954" t="s">
        <v>100</v>
      </c>
      <c r="D2954" s="8">
        <v>228.81</v>
      </c>
    </row>
    <row r="2955" spans="1:4" x14ac:dyDescent="0.45">
      <c r="A2955" s="7">
        <v>45432</v>
      </c>
      <c r="B2955" t="s">
        <v>95</v>
      </c>
      <c r="C2955" t="s">
        <v>105</v>
      </c>
      <c r="D2955" s="8">
        <v>-61</v>
      </c>
    </row>
    <row r="2956" spans="1:4" x14ac:dyDescent="0.45">
      <c r="A2956" s="7">
        <v>46158</v>
      </c>
      <c r="B2956" t="s">
        <v>97</v>
      </c>
      <c r="C2956" t="s">
        <v>104</v>
      </c>
      <c r="D2956" s="8">
        <v>472.4</v>
      </c>
    </row>
    <row r="2957" spans="1:4" x14ac:dyDescent="0.45">
      <c r="A2957" s="7">
        <v>45857</v>
      </c>
      <c r="B2957" t="s">
        <v>93</v>
      </c>
      <c r="C2957" t="s">
        <v>106</v>
      </c>
      <c r="D2957" s="8">
        <v>453.4</v>
      </c>
    </row>
    <row r="2958" spans="1:4" x14ac:dyDescent="0.45">
      <c r="A2958" s="7">
        <v>45809</v>
      </c>
      <c r="B2958" t="s">
        <v>97</v>
      </c>
      <c r="C2958" t="s">
        <v>98</v>
      </c>
      <c r="D2958" s="8">
        <v>486.57</v>
      </c>
    </row>
    <row r="2959" spans="1:4" x14ac:dyDescent="0.45">
      <c r="A2959" s="7">
        <v>45512</v>
      </c>
      <c r="B2959" t="s">
        <v>93</v>
      </c>
      <c r="C2959" t="s">
        <v>94</v>
      </c>
      <c r="D2959" s="8">
        <v>380.89</v>
      </c>
    </row>
    <row r="2960" spans="1:4" x14ac:dyDescent="0.45">
      <c r="A2960" s="7">
        <v>45484</v>
      </c>
      <c r="B2960" t="s">
        <v>97</v>
      </c>
      <c r="C2960" t="s">
        <v>104</v>
      </c>
      <c r="D2960" s="8">
        <v>277.18</v>
      </c>
    </row>
    <row r="2961" spans="1:4" x14ac:dyDescent="0.45">
      <c r="A2961" s="7">
        <v>45313</v>
      </c>
      <c r="B2961" t="s">
        <v>97</v>
      </c>
      <c r="C2961" t="s">
        <v>98</v>
      </c>
      <c r="D2961" s="8">
        <v>481.19</v>
      </c>
    </row>
    <row r="2962" spans="1:4" x14ac:dyDescent="0.45">
      <c r="A2962" s="7">
        <v>45612</v>
      </c>
      <c r="B2962" t="s">
        <v>95</v>
      </c>
      <c r="C2962" t="s">
        <v>105</v>
      </c>
      <c r="D2962" s="8">
        <v>248.42</v>
      </c>
    </row>
    <row r="2963" spans="1:4" x14ac:dyDescent="0.45">
      <c r="A2963" s="7">
        <v>46132</v>
      </c>
      <c r="B2963" t="s">
        <v>97</v>
      </c>
      <c r="C2963" t="s">
        <v>101</v>
      </c>
      <c r="D2963" s="8">
        <v>473.14</v>
      </c>
    </row>
    <row r="2964" spans="1:4" x14ac:dyDescent="0.45">
      <c r="A2964" s="7">
        <v>46056</v>
      </c>
      <c r="B2964" t="s">
        <v>97</v>
      </c>
      <c r="C2964" t="s">
        <v>98</v>
      </c>
      <c r="D2964" s="8">
        <v>-8.66</v>
      </c>
    </row>
    <row r="2965" spans="1:4" x14ac:dyDescent="0.45">
      <c r="A2965" s="7">
        <v>45435</v>
      </c>
      <c r="B2965" t="s">
        <v>97</v>
      </c>
      <c r="C2965" t="s">
        <v>104</v>
      </c>
      <c r="D2965" s="8">
        <v>356.67</v>
      </c>
    </row>
    <row r="2966" spans="1:4" x14ac:dyDescent="0.45">
      <c r="A2966" s="7">
        <v>45599</v>
      </c>
      <c r="B2966" t="s">
        <v>93</v>
      </c>
      <c r="C2966" t="s">
        <v>103</v>
      </c>
      <c r="D2966" s="8">
        <v>410.02</v>
      </c>
    </row>
    <row r="2967" spans="1:4" x14ac:dyDescent="0.45">
      <c r="A2967" s="7">
        <v>45896</v>
      </c>
      <c r="B2967" t="s">
        <v>95</v>
      </c>
      <c r="C2967" t="s">
        <v>105</v>
      </c>
      <c r="D2967" s="8">
        <v>297.36</v>
      </c>
    </row>
    <row r="2968" spans="1:4" x14ac:dyDescent="0.45">
      <c r="A2968" s="7">
        <v>45967</v>
      </c>
      <c r="B2968" t="s">
        <v>97</v>
      </c>
      <c r="C2968" t="s">
        <v>101</v>
      </c>
      <c r="D2968" s="8">
        <v>254.03</v>
      </c>
    </row>
    <row r="2969" spans="1:4" x14ac:dyDescent="0.45">
      <c r="A2969" s="7">
        <v>45329</v>
      </c>
      <c r="B2969" t="s">
        <v>95</v>
      </c>
      <c r="C2969" t="s">
        <v>105</v>
      </c>
      <c r="D2969" s="8">
        <v>339.29</v>
      </c>
    </row>
    <row r="2970" spans="1:4" x14ac:dyDescent="0.45">
      <c r="A2970" s="7">
        <v>45939</v>
      </c>
      <c r="B2970" t="s">
        <v>97</v>
      </c>
      <c r="C2970" t="s">
        <v>104</v>
      </c>
      <c r="D2970" s="8">
        <v>356.4</v>
      </c>
    </row>
    <row r="2971" spans="1:4" x14ac:dyDescent="0.45">
      <c r="A2971" s="7">
        <v>45517</v>
      </c>
      <c r="B2971" t="s">
        <v>93</v>
      </c>
      <c r="C2971" t="s">
        <v>94</v>
      </c>
      <c r="D2971" s="8">
        <v>-55.74</v>
      </c>
    </row>
    <row r="2972" spans="1:4" x14ac:dyDescent="0.45">
      <c r="A2972" s="7">
        <v>45595</v>
      </c>
      <c r="B2972" t="s">
        <v>93</v>
      </c>
      <c r="C2972" t="s">
        <v>103</v>
      </c>
      <c r="D2972" s="8">
        <v>418.06</v>
      </c>
    </row>
    <row r="2973" spans="1:4" x14ac:dyDescent="0.45">
      <c r="A2973" s="7">
        <v>45743</v>
      </c>
      <c r="B2973" t="s">
        <v>95</v>
      </c>
      <c r="C2973" t="s">
        <v>99</v>
      </c>
      <c r="D2973" s="8">
        <v>470.43</v>
      </c>
    </row>
    <row r="2974" spans="1:4" x14ac:dyDescent="0.45">
      <c r="A2974" s="7">
        <v>45636</v>
      </c>
      <c r="B2974" t="s">
        <v>97</v>
      </c>
      <c r="C2974" t="s">
        <v>98</v>
      </c>
      <c r="D2974" s="8">
        <v>178.34</v>
      </c>
    </row>
    <row r="2975" spans="1:4" x14ac:dyDescent="0.45">
      <c r="A2975" s="7">
        <v>45998</v>
      </c>
      <c r="B2975" t="s">
        <v>95</v>
      </c>
      <c r="C2975" t="s">
        <v>105</v>
      </c>
      <c r="D2975" s="8">
        <v>118.94</v>
      </c>
    </row>
    <row r="2976" spans="1:4" x14ac:dyDescent="0.45">
      <c r="A2976" s="7">
        <v>46099</v>
      </c>
      <c r="B2976" t="s">
        <v>93</v>
      </c>
      <c r="C2976" t="s">
        <v>106</v>
      </c>
      <c r="D2976" s="8">
        <v>-136.27000000000001</v>
      </c>
    </row>
    <row r="2977" spans="1:4" x14ac:dyDescent="0.45">
      <c r="A2977" s="7">
        <v>45880</v>
      </c>
      <c r="B2977" t="s">
        <v>97</v>
      </c>
      <c r="C2977" t="s">
        <v>107</v>
      </c>
      <c r="D2977" s="8">
        <v>381.65</v>
      </c>
    </row>
    <row r="2978" spans="1:4" x14ac:dyDescent="0.45">
      <c r="A2978" s="7">
        <v>45854</v>
      </c>
      <c r="B2978" t="s">
        <v>93</v>
      </c>
      <c r="C2978" t="s">
        <v>103</v>
      </c>
      <c r="D2978" s="8">
        <v>-95.67</v>
      </c>
    </row>
    <row r="2979" spans="1:4" x14ac:dyDescent="0.45">
      <c r="A2979" s="7">
        <v>46077</v>
      </c>
      <c r="B2979" t="s">
        <v>93</v>
      </c>
      <c r="C2979" t="s">
        <v>94</v>
      </c>
      <c r="D2979" s="8">
        <v>373.32</v>
      </c>
    </row>
    <row r="2980" spans="1:4" x14ac:dyDescent="0.45">
      <c r="A2980" s="7">
        <v>45523</v>
      </c>
      <c r="B2980" t="s">
        <v>95</v>
      </c>
      <c r="C2980" t="s">
        <v>108</v>
      </c>
      <c r="D2980" s="8">
        <v>109.02</v>
      </c>
    </row>
    <row r="2981" spans="1:4" x14ac:dyDescent="0.45">
      <c r="A2981" s="7">
        <v>45795</v>
      </c>
      <c r="B2981" t="s">
        <v>95</v>
      </c>
      <c r="C2981" t="s">
        <v>108</v>
      </c>
      <c r="D2981" s="8">
        <v>203.25</v>
      </c>
    </row>
    <row r="2982" spans="1:4" x14ac:dyDescent="0.45">
      <c r="A2982" s="7">
        <v>46083</v>
      </c>
      <c r="B2982" t="s">
        <v>95</v>
      </c>
      <c r="C2982" t="s">
        <v>109</v>
      </c>
      <c r="D2982" s="8">
        <v>390.17</v>
      </c>
    </row>
    <row r="2983" spans="1:4" x14ac:dyDescent="0.45">
      <c r="A2983" s="7">
        <v>46102</v>
      </c>
      <c r="B2983" t="s">
        <v>97</v>
      </c>
      <c r="C2983" t="s">
        <v>107</v>
      </c>
      <c r="D2983" s="8">
        <v>333.72</v>
      </c>
    </row>
    <row r="2984" spans="1:4" x14ac:dyDescent="0.45">
      <c r="A2984" s="7">
        <v>45716</v>
      </c>
      <c r="B2984" t="s">
        <v>95</v>
      </c>
      <c r="C2984" t="s">
        <v>109</v>
      </c>
      <c r="D2984" s="8">
        <v>474.03</v>
      </c>
    </row>
    <row r="2985" spans="1:4" x14ac:dyDescent="0.45">
      <c r="A2985" s="7">
        <v>46059</v>
      </c>
      <c r="B2985" t="s">
        <v>93</v>
      </c>
      <c r="C2985" t="s">
        <v>106</v>
      </c>
      <c r="D2985" s="8">
        <v>85.75</v>
      </c>
    </row>
    <row r="2986" spans="1:4" x14ac:dyDescent="0.45">
      <c r="A2986" s="7">
        <v>45855</v>
      </c>
      <c r="B2986" t="s">
        <v>93</v>
      </c>
      <c r="C2986" t="s">
        <v>106</v>
      </c>
      <c r="D2986" s="8">
        <v>95.57</v>
      </c>
    </row>
    <row r="2987" spans="1:4" x14ac:dyDescent="0.45">
      <c r="A2987" s="7">
        <v>46111</v>
      </c>
      <c r="B2987" t="s">
        <v>93</v>
      </c>
      <c r="C2987" t="s">
        <v>103</v>
      </c>
      <c r="D2987" s="8">
        <v>147.57</v>
      </c>
    </row>
    <row r="2988" spans="1:4" x14ac:dyDescent="0.45">
      <c r="A2988" s="7">
        <v>45403</v>
      </c>
      <c r="B2988" t="s">
        <v>97</v>
      </c>
      <c r="C2988" t="s">
        <v>98</v>
      </c>
      <c r="D2988" s="8">
        <v>220.38</v>
      </c>
    </row>
    <row r="2989" spans="1:4" x14ac:dyDescent="0.45">
      <c r="A2989" s="7">
        <v>45365</v>
      </c>
      <c r="B2989" t="s">
        <v>95</v>
      </c>
      <c r="C2989" t="s">
        <v>102</v>
      </c>
      <c r="D2989" s="8">
        <v>-104.38</v>
      </c>
    </row>
    <row r="2990" spans="1:4" x14ac:dyDescent="0.45">
      <c r="A2990" s="7">
        <v>46045</v>
      </c>
      <c r="B2990" t="s">
        <v>97</v>
      </c>
      <c r="C2990" t="s">
        <v>101</v>
      </c>
      <c r="D2990" s="8">
        <v>-97.97</v>
      </c>
    </row>
    <row r="2991" spans="1:4" x14ac:dyDescent="0.45">
      <c r="A2991" s="7">
        <v>45510</v>
      </c>
      <c r="B2991" t="s">
        <v>93</v>
      </c>
      <c r="C2991" t="s">
        <v>103</v>
      </c>
      <c r="D2991" s="8">
        <v>80.319999999999993</v>
      </c>
    </row>
    <row r="2992" spans="1:4" x14ac:dyDescent="0.45">
      <c r="A2992" s="7">
        <v>45345</v>
      </c>
      <c r="B2992" t="s">
        <v>97</v>
      </c>
      <c r="C2992" t="s">
        <v>104</v>
      </c>
      <c r="D2992" s="8">
        <v>53.44</v>
      </c>
    </row>
    <row r="2993" spans="1:4" x14ac:dyDescent="0.45">
      <c r="A2993" s="7">
        <v>46042</v>
      </c>
      <c r="B2993" t="s">
        <v>93</v>
      </c>
      <c r="C2993" t="s">
        <v>100</v>
      </c>
      <c r="D2993" s="8">
        <v>387.7</v>
      </c>
    </row>
    <row r="2994" spans="1:4" x14ac:dyDescent="0.45">
      <c r="A2994" s="7">
        <v>46084</v>
      </c>
      <c r="B2994" t="s">
        <v>97</v>
      </c>
      <c r="C2994" t="s">
        <v>107</v>
      </c>
      <c r="D2994" s="8">
        <v>470.33</v>
      </c>
    </row>
    <row r="2995" spans="1:4" x14ac:dyDescent="0.45">
      <c r="A2995" s="7">
        <v>45327</v>
      </c>
      <c r="B2995" t="s">
        <v>93</v>
      </c>
      <c r="C2995" t="s">
        <v>103</v>
      </c>
      <c r="D2995" s="8">
        <v>288.62</v>
      </c>
    </row>
    <row r="2996" spans="1:4" x14ac:dyDescent="0.45">
      <c r="A2996" s="7">
        <v>46163</v>
      </c>
      <c r="B2996" t="s">
        <v>93</v>
      </c>
      <c r="C2996" t="s">
        <v>94</v>
      </c>
      <c r="D2996" s="8">
        <v>488.11</v>
      </c>
    </row>
    <row r="2997" spans="1:4" x14ac:dyDescent="0.45">
      <c r="A2997" s="7">
        <v>45985</v>
      </c>
      <c r="B2997" t="s">
        <v>95</v>
      </c>
      <c r="C2997" t="s">
        <v>105</v>
      </c>
      <c r="D2997" s="8">
        <v>150.31</v>
      </c>
    </row>
    <row r="2998" spans="1:4" x14ac:dyDescent="0.45">
      <c r="A2998" s="7">
        <v>45447</v>
      </c>
      <c r="B2998" t="s">
        <v>93</v>
      </c>
      <c r="C2998" t="s">
        <v>94</v>
      </c>
      <c r="D2998" s="8">
        <v>416.43</v>
      </c>
    </row>
    <row r="2999" spans="1:4" x14ac:dyDescent="0.45">
      <c r="A2999" s="7">
        <v>45765</v>
      </c>
      <c r="B2999" t="s">
        <v>93</v>
      </c>
      <c r="C2999" t="s">
        <v>100</v>
      </c>
      <c r="D2999" s="8">
        <v>260.7</v>
      </c>
    </row>
    <row r="3000" spans="1:4" x14ac:dyDescent="0.45">
      <c r="A3000" s="7">
        <v>46037</v>
      </c>
      <c r="B3000" t="s">
        <v>95</v>
      </c>
      <c r="C3000" t="s">
        <v>105</v>
      </c>
      <c r="D3000" s="8">
        <v>-103.13</v>
      </c>
    </row>
    <row r="3001" spans="1:4" x14ac:dyDescent="0.45">
      <c r="A3001" s="7">
        <v>45977</v>
      </c>
      <c r="B3001" t="s">
        <v>95</v>
      </c>
      <c r="C3001" t="s">
        <v>99</v>
      </c>
      <c r="D3001" s="8">
        <v>185.8</v>
      </c>
    </row>
    <row r="3002" spans="1:4" x14ac:dyDescent="0.45">
      <c r="A3002" s="7">
        <v>45340</v>
      </c>
      <c r="B3002" t="s">
        <v>93</v>
      </c>
      <c r="C3002" t="s">
        <v>100</v>
      </c>
      <c r="D3002" s="8">
        <v>48.19</v>
      </c>
    </row>
    <row r="3003" spans="1:4" x14ac:dyDescent="0.45">
      <c r="A3003" s="7">
        <v>45911</v>
      </c>
      <c r="B3003" t="s">
        <v>93</v>
      </c>
      <c r="C3003" t="s">
        <v>106</v>
      </c>
      <c r="D3003" s="8">
        <v>-110.85</v>
      </c>
    </row>
    <row r="3004" spans="1:4" x14ac:dyDescent="0.45">
      <c r="A3004" s="7">
        <v>45502</v>
      </c>
      <c r="B3004" t="s">
        <v>97</v>
      </c>
      <c r="C3004" t="s">
        <v>107</v>
      </c>
      <c r="D3004" s="8">
        <v>306.31</v>
      </c>
    </row>
    <row r="3005" spans="1:4" x14ac:dyDescent="0.45">
      <c r="A3005" s="7">
        <v>46152</v>
      </c>
      <c r="B3005" t="s">
        <v>93</v>
      </c>
      <c r="C3005" t="s">
        <v>106</v>
      </c>
      <c r="D3005" s="8">
        <v>158.53</v>
      </c>
    </row>
    <row r="3006" spans="1:4" x14ac:dyDescent="0.45">
      <c r="A3006" s="7">
        <v>45357</v>
      </c>
      <c r="B3006" t="s">
        <v>93</v>
      </c>
      <c r="C3006" t="s">
        <v>106</v>
      </c>
      <c r="D3006" s="8">
        <v>386.62</v>
      </c>
    </row>
    <row r="3007" spans="1:4" x14ac:dyDescent="0.45">
      <c r="A3007" s="7">
        <v>45881</v>
      </c>
      <c r="B3007" t="s">
        <v>97</v>
      </c>
      <c r="C3007" t="s">
        <v>104</v>
      </c>
      <c r="D3007" s="8">
        <v>128.31</v>
      </c>
    </row>
    <row r="3008" spans="1:4" x14ac:dyDescent="0.45">
      <c r="A3008" s="7">
        <v>45345</v>
      </c>
      <c r="B3008" t="s">
        <v>93</v>
      </c>
      <c r="C3008" t="s">
        <v>106</v>
      </c>
      <c r="D3008" s="8">
        <v>-69.02</v>
      </c>
    </row>
    <row r="3009" spans="1:4" x14ac:dyDescent="0.45">
      <c r="A3009" s="7">
        <v>45793</v>
      </c>
      <c r="B3009" t="s">
        <v>93</v>
      </c>
      <c r="C3009" t="s">
        <v>100</v>
      </c>
      <c r="D3009" s="8">
        <v>458.77</v>
      </c>
    </row>
    <row r="3010" spans="1:4" x14ac:dyDescent="0.45">
      <c r="A3010" s="7">
        <v>45968</v>
      </c>
      <c r="B3010" t="s">
        <v>93</v>
      </c>
      <c r="C3010" t="s">
        <v>94</v>
      </c>
      <c r="D3010" s="8">
        <v>49.56</v>
      </c>
    </row>
    <row r="3011" spans="1:4" x14ac:dyDescent="0.45">
      <c r="A3011" s="7">
        <v>45901</v>
      </c>
      <c r="B3011" t="s">
        <v>97</v>
      </c>
      <c r="C3011" t="s">
        <v>98</v>
      </c>
      <c r="D3011" s="8">
        <v>234</v>
      </c>
    </row>
    <row r="3012" spans="1:4" x14ac:dyDescent="0.45">
      <c r="A3012" s="7">
        <v>45448</v>
      </c>
      <c r="B3012" t="s">
        <v>93</v>
      </c>
      <c r="C3012" t="s">
        <v>106</v>
      </c>
      <c r="D3012" s="8">
        <v>421.66</v>
      </c>
    </row>
    <row r="3013" spans="1:4" x14ac:dyDescent="0.45">
      <c r="A3013" s="7">
        <v>45523</v>
      </c>
      <c r="B3013" t="s">
        <v>95</v>
      </c>
      <c r="C3013" t="s">
        <v>102</v>
      </c>
      <c r="D3013" s="8">
        <v>427.76</v>
      </c>
    </row>
    <row r="3014" spans="1:4" x14ac:dyDescent="0.45">
      <c r="A3014" s="7">
        <v>46109</v>
      </c>
      <c r="B3014" t="s">
        <v>97</v>
      </c>
      <c r="C3014" t="s">
        <v>104</v>
      </c>
      <c r="D3014" s="8">
        <v>-126.53</v>
      </c>
    </row>
    <row r="3015" spans="1:4" x14ac:dyDescent="0.45">
      <c r="A3015" s="7">
        <v>45350</v>
      </c>
      <c r="B3015" t="s">
        <v>93</v>
      </c>
      <c r="C3015" t="s">
        <v>100</v>
      </c>
      <c r="D3015" s="8">
        <v>-125.95</v>
      </c>
    </row>
    <row r="3016" spans="1:4" x14ac:dyDescent="0.45">
      <c r="A3016" s="7">
        <v>45958</v>
      </c>
      <c r="B3016" t="s">
        <v>93</v>
      </c>
      <c r="C3016" t="s">
        <v>106</v>
      </c>
      <c r="D3016" s="8">
        <v>495.03</v>
      </c>
    </row>
    <row r="3017" spans="1:4" x14ac:dyDescent="0.45">
      <c r="A3017" s="7">
        <v>46006</v>
      </c>
      <c r="B3017" t="s">
        <v>95</v>
      </c>
      <c r="C3017" t="s">
        <v>108</v>
      </c>
      <c r="D3017" s="8">
        <v>-129.15</v>
      </c>
    </row>
    <row r="3018" spans="1:4" x14ac:dyDescent="0.45">
      <c r="A3018" s="7">
        <v>45821</v>
      </c>
      <c r="B3018" t="s">
        <v>93</v>
      </c>
      <c r="C3018" t="s">
        <v>103</v>
      </c>
      <c r="D3018" s="8">
        <v>398.1</v>
      </c>
    </row>
    <row r="3019" spans="1:4" x14ac:dyDescent="0.45">
      <c r="A3019" s="7">
        <v>46073</v>
      </c>
      <c r="B3019" t="s">
        <v>95</v>
      </c>
      <c r="C3019" t="s">
        <v>99</v>
      </c>
      <c r="D3019" s="8">
        <v>-6.72</v>
      </c>
    </row>
    <row r="3020" spans="1:4" x14ac:dyDescent="0.45">
      <c r="A3020" s="7">
        <v>45388</v>
      </c>
      <c r="B3020" t="s">
        <v>93</v>
      </c>
      <c r="C3020" t="s">
        <v>94</v>
      </c>
      <c r="D3020" s="8">
        <v>64.84</v>
      </c>
    </row>
    <row r="3021" spans="1:4" x14ac:dyDescent="0.45">
      <c r="A3021" s="7">
        <v>46002</v>
      </c>
      <c r="B3021" t="s">
        <v>93</v>
      </c>
      <c r="C3021" t="s">
        <v>106</v>
      </c>
      <c r="D3021" s="8">
        <v>126.8</v>
      </c>
    </row>
    <row r="3022" spans="1:4" x14ac:dyDescent="0.45">
      <c r="A3022" s="7">
        <v>46010</v>
      </c>
      <c r="B3022" t="s">
        <v>93</v>
      </c>
      <c r="C3022" t="s">
        <v>100</v>
      </c>
      <c r="D3022" s="8">
        <v>182.7</v>
      </c>
    </row>
    <row r="3023" spans="1:4" x14ac:dyDescent="0.45">
      <c r="A3023" s="7">
        <v>45364</v>
      </c>
      <c r="B3023" t="s">
        <v>93</v>
      </c>
      <c r="C3023" t="s">
        <v>94</v>
      </c>
      <c r="D3023" s="8">
        <v>87.29</v>
      </c>
    </row>
    <row r="3024" spans="1:4" x14ac:dyDescent="0.45">
      <c r="A3024" s="7">
        <v>46102</v>
      </c>
      <c r="B3024" t="s">
        <v>97</v>
      </c>
      <c r="C3024" t="s">
        <v>101</v>
      </c>
      <c r="D3024" s="8">
        <v>305.89</v>
      </c>
    </row>
    <row r="3025" spans="1:4" x14ac:dyDescent="0.45">
      <c r="A3025" s="7">
        <v>45403</v>
      </c>
      <c r="B3025" t="s">
        <v>93</v>
      </c>
      <c r="C3025" t="s">
        <v>100</v>
      </c>
      <c r="D3025" s="8">
        <v>77.010000000000005</v>
      </c>
    </row>
    <row r="3026" spans="1:4" x14ac:dyDescent="0.45">
      <c r="A3026" s="7">
        <v>45293</v>
      </c>
      <c r="B3026" t="s">
        <v>95</v>
      </c>
      <c r="C3026" t="s">
        <v>96</v>
      </c>
      <c r="D3026" s="8">
        <v>484.67</v>
      </c>
    </row>
    <row r="3027" spans="1:4" x14ac:dyDescent="0.45">
      <c r="A3027" s="7">
        <v>45759</v>
      </c>
      <c r="B3027" t="s">
        <v>95</v>
      </c>
      <c r="C3027" t="s">
        <v>99</v>
      </c>
      <c r="D3027" s="8">
        <v>201.2</v>
      </c>
    </row>
    <row r="3028" spans="1:4" x14ac:dyDescent="0.45">
      <c r="A3028" s="7">
        <v>45480</v>
      </c>
      <c r="B3028" t="s">
        <v>97</v>
      </c>
      <c r="C3028" t="s">
        <v>104</v>
      </c>
      <c r="D3028" s="8">
        <v>-50.74</v>
      </c>
    </row>
    <row r="3029" spans="1:4" x14ac:dyDescent="0.45">
      <c r="A3029" s="7">
        <v>45635</v>
      </c>
      <c r="B3029" t="s">
        <v>95</v>
      </c>
      <c r="C3029" t="s">
        <v>102</v>
      </c>
      <c r="D3029" s="8">
        <v>-47.1</v>
      </c>
    </row>
    <row r="3030" spans="1:4" x14ac:dyDescent="0.45">
      <c r="A3030" s="7">
        <v>45537</v>
      </c>
      <c r="B3030" t="s">
        <v>95</v>
      </c>
      <c r="C3030" t="s">
        <v>96</v>
      </c>
      <c r="D3030" s="8">
        <v>-131.11000000000001</v>
      </c>
    </row>
    <row r="3031" spans="1:4" x14ac:dyDescent="0.45">
      <c r="A3031" s="7">
        <v>46065</v>
      </c>
      <c r="B3031" t="s">
        <v>97</v>
      </c>
      <c r="C3031" t="s">
        <v>104</v>
      </c>
      <c r="D3031" s="8">
        <v>404.85</v>
      </c>
    </row>
    <row r="3032" spans="1:4" x14ac:dyDescent="0.45">
      <c r="A3032" s="7">
        <v>45864</v>
      </c>
      <c r="B3032" t="s">
        <v>93</v>
      </c>
      <c r="C3032" t="s">
        <v>106</v>
      </c>
      <c r="D3032" s="8">
        <v>476.56</v>
      </c>
    </row>
    <row r="3033" spans="1:4" x14ac:dyDescent="0.45">
      <c r="A3033" s="7">
        <v>45772</v>
      </c>
      <c r="B3033" t="s">
        <v>97</v>
      </c>
      <c r="C3033" t="s">
        <v>101</v>
      </c>
      <c r="D3033" s="8">
        <v>159.15</v>
      </c>
    </row>
    <row r="3034" spans="1:4" x14ac:dyDescent="0.45">
      <c r="A3034" s="7">
        <v>45834</v>
      </c>
      <c r="B3034" t="s">
        <v>93</v>
      </c>
      <c r="C3034" t="s">
        <v>103</v>
      </c>
      <c r="D3034" s="8">
        <v>122.57</v>
      </c>
    </row>
    <row r="3035" spans="1:4" x14ac:dyDescent="0.45">
      <c r="A3035" s="7">
        <v>45294</v>
      </c>
      <c r="B3035" t="s">
        <v>93</v>
      </c>
      <c r="C3035" t="s">
        <v>100</v>
      </c>
      <c r="D3035" s="8">
        <v>-122.77</v>
      </c>
    </row>
    <row r="3036" spans="1:4" x14ac:dyDescent="0.45">
      <c r="A3036" s="7">
        <v>45305</v>
      </c>
      <c r="B3036" t="s">
        <v>93</v>
      </c>
      <c r="C3036" t="s">
        <v>94</v>
      </c>
      <c r="D3036" s="8">
        <v>52.18</v>
      </c>
    </row>
    <row r="3037" spans="1:4" x14ac:dyDescent="0.45">
      <c r="A3037" s="7">
        <v>45430</v>
      </c>
      <c r="B3037" t="s">
        <v>93</v>
      </c>
      <c r="C3037" t="s">
        <v>100</v>
      </c>
      <c r="D3037" s="8">
        <v>-77.13</v>
      </c>
    </row>
    <row r="3038" spans="1:4" x14ac:dyDescent="0.45">
      <c r="A3038" s="7">
        <v>45468</v>
      </c>
      <c r="B3038" t="s">
        <v>93</v>
      </c>
      <c r="C3038" t="s">
        <v>100</v>
      </c>
      <c r="D3038" s="8">
        <v>302.08999999999997</v>
      </c>
    </row>
    <row r="3039" spans="1:4" x14ac:dyDescent="0.45">
      <c r="A3039" s="7">
        <v>45345</v>
      </c>
      <c r="B3039" t="s">
        <v>95</v>
      </c>
      <c r="C3039" t="s">
        <v>105</v>
      </c>
      <c r="D3039" s="8">
        <v>13.74</v>
      </c>
    </row>
    <row r="3040" spans="1:4" x14ac:dyDescent="0.45">
      <c r="A3040" s="7">
        <v>45438</v>
      </c>
      <c r="B3040" t="s">
        <v>95</v>
      </c>
      <c r="C3040" t="s">
        <v>96</v>
      </c>
      <c r="D3040" s="8">
        <v>150.19999999999999</v>
      </c>
    </row>
    <row r="3041" spans="1:4" x14ac:dyDescent="0.45">
      <c r="A3041" s="7">
        <v>45872</v>
      </c>
      <c r="B3041" t="s">
        <v>95</v>
      </c>
      <c r="C3041" t="s">
        <v>109</v>
      </c>
      <c r="D3041" s="8">
        <v>44.09</v>
      </c>
    </row>
    <row r="3042" spans="1:4" x14ac:dyDescent="0.45">
      <c r="A3042" s="7">
        <v>45936</v>
      </c>
      <c r="B3042" t="s">
        <v>95</v>
      </c>
      <c r="C3042" t="s">
        <v>96</v>
      </c>
      <c r="D3042" s="8">
        <v>49.81</v>
      </c>
    </row>
    <row r="3043" spans="1:4" x14ac:dyDescent="0.45">
      <c r="A3043" s="7">
        <v>45443</v>
      </c>
      <c r="B3043" t="s">
        <v>97</v>
      </c>
      <c r="C3043" t="s">
        <v>104</v>
      </c>
      <c r="D3043" s="8">
        <v>-137.13999999999999</v>
      </c>
    </row>
    <row r="3044" spans="1:4" x14ac:dyDescent="0.45">
      <c r="A3044" s="7">
        <v>45621</v>
      </c>
      <c r="B3044" t="s">
        <v>95</v>
      </c>
      <c r="C3044" t="s">
        <v>105</v>
      </c>
      <c r="D3044" s="8">
        <v>426.9</v>
      </c>
    </row>
    <row r="3045" spans="1:4" x14ac:dyDescent="0.45">
      <c r="A3045" s="7">
        <v>45570</v>
      </c>
      <c r="B3045" t="s">
        <v>93</v>
      </c>
      <c r="C3045" t="s">
        <v>100</v>
      </c>
      <c r="D3045" s="8">
        <v>-121.37</v>
      </c>
    </row>
    <row r="3046" spans="1:4" x14ac:dyDescent="0.45">
      <c r="A3046" s="7">
        <v>45760</v>
      </c>
      <c r="B3046" t="s">
        <v>95</v>
      </c>
      <c r="C3046" t="s">
        <v>109</v>
      </c>
      <c r="D3046" s="8">
        <v>284.13</v>
      </c>
    </row>
    <row r="3047" spans="1:4" x14ac:dyDescent="0.45">
      <c r="A3047" s="7">
        <v>46018</v>
      </c>
      <c r="B3047" t="s">
        <v>95</v>
      </c>
      <c r="C3047" t="s">
        <v>96</v>
      </c>
      <c r="D3047" s="8">
        <v>165.17</v>
      </c>
    </row>
    <row r="3048" spans="1:4" x14ac:dyDescent="0.45">
      <c r="A3048" s="7">
        <v>45750</v>
      </c>
      <c r="B3048" t="s">
        <v>95</v>
      </c>
      <c r="C3048" t="s">
        <v>102</v>
      </c>
      <c r="D3048" s="8">
        <v>129.51</v>
      </c>
    </row>
    <row r="3049" spans="1:4" x14ac:dyDescent="0.45">
      <c r="A3049" s="7">
        <v>45950</v>
      </c>
      <c r="B3049" t="s">
        <v>95</v>
      </c>
      <c r="C3049" t="s">
        <v>105</v>
      </c>
      <c r="D3049" s="8">
        <v>217.51</v>
      </c>
    </row>
    <row r="3050" spans="1:4" x14ac:dyDescent="0.45">
      <c r="A3050" s="7">
        <v>45562</v>
      </c>
      <c r="B3050" t="s">
        <v>97</v>
      </c>
      <c r="C3050" t="s">
        <v>104</v>
      </c>
      <c r="D3050" s="8">
        <v>-15.57</v>
      </c>
    </row>
    <row r="3051" spans="1:4" x14ac:dyDescent="0.45">
      <c r="A3051" s="7">
        <v>45574</v>
      </c>
      <c r="B3051" t="s">
        <v>93</v>
      </c>
      <c r="C3051" t="s">
        <v>94</v>
      </c>
      <c r="D3051" s="8">
        <v>145.03</v>
      </c>
    </row>
    <row r="3052" spans="1:4" x14ac:dyDescent="0.45">
      <c r="A3052" s="7">
        <v>45538</v>
      </c>
      <c r="B3052" t="s">
        <v>95</v>
      </c>
      <c r="C3052" t="s">
        <v>102</v>
      </c>
      <c r="D3052" s="8">
        <v>40.33</v>
      </c>
    </row>
    <row r="3053" spans="1:4" x14ac:dyDescent="0.45">
      <c r="A3053" s="7">
        <v>45782</v>
      </c>
      <c r="B3053" t="s">
        <v>95</v>
      </c>
      <c r="C3053" t="s">
        <v>108</v>
      </c>
      <c r="D3053" s="8">
        <v>-39.97</v>
      </c>
    </row>
    <row r="3054" spans="1:4" x14ac:dyDescent="0.45">
      <c r="A3054" s="7">
        <v>45831</v>
      </c>
      <c r="B3054" t="s">
        <v>93</v>
      </c>
      <c r="C3054" t="s">
        <v>106</v>
      </c>
      <c r="D3054" s="8">
        <v>105.61</v>
      </c>
    </row>
    <row r="3055" spans="1:4" x14ac:dyDescent="0.45">
      <c r="A3055" s="7">
        <v>45872</v>
      </c>
      <c r="B3055" t="s">
        <v>93</v>
      </c>
      <c r="C3055" t="s">
        <v>103</v>
      </c>
      <c r="D3055" s="8">
        <v>373.1</v>
      </c>
    </row>
    <row r="3056" spans="1:4" x14ac:dyDescent="0.45">
      <c r="A3056" s="7">
        <v>46144</v>
      </c>
      <c r="B3056" t="s">
        <v>93</v>
      </c>
      <c r="C3056" t="s">
        <v>103</v>
      </c>
      <c r="D3056" s="8">
        <v>256.48</v>
      </c>
    </row>
    <row r="3057" spans="1:4" x14ac:dyDescent="0.45">
      <c r="A3057" s="7">
        <v>45929</v>
      </c>
      <c r="B3057" t="s">
        <v>93</v>
      </c>
      <c r="C3057" t="s">
        <v>103</v>
      </c>
      <c r="D3057" s="8">
        <v>398.98</v>
      </c>
    </row>
    <row r="3058" spans="1:4" x14ac:dyDescent="0.45">
      <c r="A3058" s="7">
        <v>45579</v>
      </c>
      <c r="B3058" t="s">
        <v>93</v>
      </c>
      <c r="C3058" t="s">
        <v>100</v>
      </c>
      <c r="D3058" s="8">
        <v>334.35</v>
      </c>
    </row>
    <row r="3059" spans="1:4" x14ac:dyDescent="0.45">
      <c r="A3059" s="7">
        <v>46153</v>
      </c>
      <c r="B3059" t="s">
        <v>93</v>
      </c>
      <c r="C3059" t="s">
        <v>100</v>
      </c>
      <c r="D3059" s="8">
        <v>-126.34</v>
      </c>
    </row>
    <row r="3060" spans="1:4" x14ac:dyDescent="0.45">
      <c r="A3060" s="7">
        <v>45790</v>
      </c>
      <c r="B3060" t="s">
        <v>97</v>
      </c>
      <c r="C3060" t="s">
        <v>101</v>
      </c>
      <c r="D3060" s="8">
        <v>-44.81</v>
      </c>
    </row>
    <row r="3061" spans="1:4" x14ac:dyDescent="0.45">
      <c r="A3061" s="7">
        <v>45591</v>
      </c>
      <c r="B3061" t="s">
        <v>93</v>
      </c>
      <c r="C3061" t="s">
        <v>94</v>
      </c>
      <c r="D3061" s="8">
        <v>-43.87</v>
      </c>
    </row>
    <row r="3062" spans="1:4" x14ac:dyDescent="0.45">
      <c r="A3062" s="7">
        <v>45416</v>
      </c>
      <c r="B3062" t="s">
        <v>95</v>
      </c>
      <c r="C3062" t="s">
        <v>109</v>
      </c>
      <c r="D3062" s="8">
        <v>43.18</v>
      </c>
    </row>
    <row r="3063" spans="1:4" x14ac:dyDescent="0.45">
      <c r="A3063" s="7">
        <v>46029</v>
      </c>
      <c r="B3063" t="s">
        <v>97</v>
      </c>
      <c r="C3063" t="s">
        <v>104</v>
      </c>
      <c r="D3063" s="8">
        <v>409.09</v>
      </c>
    </row>
    <row r="3064" spans="1:4" x14ac:dyDescent="0.45">
      <c r="A3064" s="7">
        <v>46167</v>
      </c>
      <c r="B3064" t="s">
        <v>95</v>
      </c>
      <c r="C3064" t="s">
        <v>105</v>
      </c>
      <c r="D3064" s="8">
        <v>269.13</v>
      </c>
    </row>
    <row r="3065" spans="1:4" x14ac:dyDescent="0.45">
      <c r="A3065" s="7">
        <v>45642</v>
      </c>
      <c r="B3065" t="s">
        <v>93</v>
      </c>
      <c r="C3065" t="s">
        <v>100</v>
      </c>
      <c r="D3065" s="8">
        <v>-8.17</v>
      </c>
    </row>
    <row r="3066" spans="1:4" x14ac:dyDescent="0.45">
      <c r="A3066" s="7">
        <v>46015</v>
      </c>
      <c r="B3066" t="s">
        <v>93</v>
      </c>
      <c r="C3066" t="s">
        <v>103</v>
      </c>
      <c r="D3066" s="8">
        <v>118.4</v>
      </c>
    </row>
    <row r="3067" spans="1:4" x14ac:dyDescent="0.45">
      <c r="A3067" s="7">
        <v>45801</v>
      </c>
      <c r="B3067" t="s">
        <v>97</v>
      </c>
      <c r="C3067" t="s">
        <v>104</v>
      </c>
      <c r="D3067" s="8">
        <v>-97.91</v>
      </c>
    </row>
    <row r="3068" spans="1:4" x14ac:dyDescent="0.45">
      <c r="A3068" s="7">
        <v>45297</v>
      </c>
      <c r="B3068" t="s">
        <v>97</v>
      </c>
      <c r="C3068" t="s">
        <v>107</v>
      </c>
      <c r="D3068" s="8">
        <v>301.81</v>
      </c>
    </row>
    <row r="3069" spans="1:4" x14ac:dyDescent="0.45">
      <c r="A3069" s="7">
        <v>45480</v>
      </c>
      <c r="B3069" t="s">
        <v>93</v>
      </c>
      <c r="C3069" t="s">
        <v>103</v>
      </c>
      <c r="D3069" s="8">
        <v>111.27</v>
      </c>
    </row>
    <row r="3070" spans="1:4" x14ac:dyDescent="0.45">
      <c r="A3070" s="7">
        <v>45578</v>
      </c>
      <c r="B3070" t="s">
        <v>93</v>
      </c>
      <c r="C3070" t="s">
        <v>100</v>
      </c>
      <c r="D3070" s="8">
        <v>291.11</v>
      </c>
    </row>
    <row r="3071" spans="1:4" x14ac:dyDescent="0.45">
      <c r="A3071" s="7">
        <v>45411</v>
      </c>
      <c r="B3071" t="s">
        <v>95</v>
      </c>
      <c r="C3071" t="s">
        <v>108</v>
      </c>
      <c r="D3071" s="8">
        <v>83.78</v>
      </c>
    </row>
    <row r="3072" spans="1:4" x14ac:dyDescent="0.45">
      <c r="A3072" s="7">
        <v>46029</v>
      </c>
      <c r="B3072" t="s">
        <v>97</v>
      </c>
      <c r="C3072" t="s">
        <v>98</v>
      </c>
      <c r="D3072" s="8">
        <v>-80.77</v>
      </c>
    </row>
    <row r="3073" spans="1:4" x14ac:dyDescent="0.45">
      <c r="A3073" s="7">
        <v>45401</v>
      </c>
      <c r="B3073" t="s">
        <v>93</v>
      </c>
      <c r="C3073" t="s">
        <v>100</v>
      </c>
      <c r="D3073" s="8">
        <v>407.26</v>
      </c>
    </row>
    <row r="3074" spans="1:4" x14ac:dyDescent="0.45">
      <c r="A3074" s="7">
        <v>45417</v>
      </c>
      <c r="B3074" t="s">
        <v>93</v>
      </c>
      <c r="C3074" t="s">
        <v>100</v>
      </c>
      <c r="D3074" s="8">
        <v>-16.27</v>
      </c>
    </row>
    <row r="3075" spans="1:4" x14ac:dyDescent="0.45">
      <c r="A3075" s="7">
        <v>45977</v>
      </c>
      <c r="B3075" t="s">
        <v>93</v>
      </c>
      <c r="C3075" t="s">
        <v>94</v>
      </c>
      <c r="D3075" s="8">
        <v>228.64</v>
      </c>
    </row>
    <row r="3076" spans="1:4" x14ac:dyDescent="0.45">
      <c r="A3076" s="7">
        <v>45357</v>
      </c>
      <c r="B3076" t="s">
        <v>95</v>
      </c>
      <c r="C3076" t="s">
        <v>105</v>
      </c>
      <c r="D3076" s="8">
        <v>99.05</v>
      </c>
    </row>
    <row r="3077" spans="1:4" x14ac:dyDescent="0.45">
      <c r="A3077" s="7">
        <v>45781</v>
      </c>
      <c r="B3077" t="s">
        <v>95</v>
      </c>
      <c r="C3077" t="s">
        <v>109</v>
      </c>
      <c r="D3077" s="8">
        <v>332.24</v>
      </c>
    </row>
    <row r="3078" spans="1:4" x14ac:dyDescent="0.45">
      <c r="A3078" s="7">
        <v>45910</v>
      </c>
      <c r="B3078" t="s">
        <v>93</v>
      </c>
      <c r="C3078" t="s">
        <v>106</v>
      </c>
      <c r="D3078" s="8">
        <v>237.83</v>
      </c>
    </row>
    <row r="3079" spans="1:4" x14ac:dyDescent="0.45">
      <c r="A3079" s="7">
        <v>45794</v>
      </c>
      <c r="B3079" t="s">
        <v>93</v>
      </c>
      <c r="C3079" t="s">
        <v>100</v>
      </c>
      <c r="D3079" s="8">
        <v>417.54</v>
      </c>
    </row>
    <row r="3080" spans="1:4" x14ac:dyDescent="0.45">
      <c r="A3080" s="7">
        <v>45733</v>
      </c>
      <c r="B3080" t="s">
        <v>95</v>
      </c>
      <c r="C3080" t="s">
        <v>108</v>
      </c>
      <c r="D3080" s="8">
        <v>255.54</v>
      </c>
    </row>
    <row r="3081" spans="1:4" x14ac:dyDescent="0.45">
      <c r="A3081" s="7">
        <v>45700</v>
      </c>
      <c r="B3081" t="s">
        <v>93</v>
      </c>
      <c r="C3081" t="s">
        <v>103</v>
      </c>
      <c r="D3081" s="8">
        <v>311.86</v>
      </c>
    </row>
    <row r="3082" spans="1:4" x14ac:dyDescent="0.45">
      <c r="A3082" s="7">
        <v>46035</v>
      </c>
      <c r="B3082" t="s">
        <v>97</v>
      </c>
      <c r="C3082" t="s">
        <v>98</v>
      </c>
      <c r="D3082" s="8">
        <v>102.45</v>
      </c>
    </row>
    <row r="3083" spans="1:4" x14ac:dyDescent="0.45">
      <c r="A3083" s="7">
        <v>45633</v>
      </c>
      <c r="B3083" t="s">
        <v>97</v>
      </c>
      <c r="C3083" t="s">
        <v>98</v>
      </c>
      <c r="D3083" s="8">
        <v>127.43</v>
      </c>
    </row>
    <row r="3084" spans="1:4" x14ac:dyDescent="0.45">
      <c r="A3084" s="7">
        <v>45860</v>
      </c>
      <c r="B3084" t="s">
        <v>93</v>
      </c>
      <c r="C3084" t="s">
        <v>103</v>
      </c>
      <c r="D3084" s="8">
        <v>297.05</v>
      </c>
    </row>
    <row r="3085" spans="1:4" x14ac:dyDescent="0.45">
      <c r="A3085" s="7">
        <v>46039</v>
      </c>
      <c r="B3085" t="s">
        <v>95</v>
      </c>
      <c r="C3085" t="s">
        <v>109</v>
      </c>
      <c r="D3085" s="8">
        <v>198.39</v>
      </c>
    </row>
    <row r="3086" spans="1:4" x14ac:dyDescent="0.45">
      <c r="A3086" s="7">
        <v>45777</v>
      </c>
      <c r="B3086" t="s">
        <v>95</v>
      </c>
      <c r="C3086" t="s">
        <v>108</v>
      </c>
      <c r="D3086" s="8">
        <v>497.9</v>
      </c>
    </row>
    <row r="3087" spans="1:4" x14ac:dyDescent="0.45">
      <c r="A3087" s="7">
        <v>45456</v>
      </c>
      <c r="B3087" t="s">
        <v>97</v>
      </c>
      <c r="C3087" t="s">
        <v>98</v>
      </c>
      <c r="D3087" s="8">
        <v>-33.119999999999997</v>
      </c>
    </row>
    <row r="3088" spans="1:4" x14ac:dyDescent="0.45">
      <c r="A3088" s="7">
        <v>45896</v>
      </c>
      <c r="B3088" t="s">
        <v>97</v>
      </c>
      <c r="C3088" t="s">
        <v>107</v>
      </c>
      <c r="D3088" s="8">
        <v>413.85</v>
      </c>
    </row>
    <row r="3089" spans="1:4" x14ac:dyDescent="0.45">
      <c r="A3089" s="7">
        <v>46167</v>
      </c>
      <c r="B3089" t="s">
        <v>97</v>
      </c>
      <c r="C3089" t="s">
        <v>104</v>
      </c>
      <c r="D3089" s="8">
        <v>19.84</v>
      </c>
    </row>
    <row r="3090" spans="1:4" x14ac:dyDescent="0.45">
      <c r="A3090" s="7">
        <v>45535</v>
      </c>
      <c r="B3090" t="s">
        <v>93</v>
      </c>
      <c r="C3090" t="s">
        <v>103</v>
      </c>
      <c r="D3090" s="8">
        <v>362.5</v>
      </c>
    </row>
    <row r="3091" spans="1:4" x14ac:dyDescent="0.45">
      <c r="A3091" s="7">
        <v>45448</v>
      </c>
      <c r="B3091" t="s">
        <v>95</v>
      </c>
      <c r="C3091" t="s">
        <v>105</v>
      </c>
      <c r="D3091" s="8">
        <v>27.68</v>
      </c>
    </row>
    <row r="3092" spans="1:4" x14ac:dyDescent="0.45">
      <c r="A3092" s="7">
        <v>45367</v>
      </c>
      <c r="B3092" t="s">
        <v>95</v>
      </c>
      <c r="C3092" t="s">
        <v>99</v>
      </c>
      <c r="D3092" s="8">
        <v>115.71</v>
      </c>
    </row>
    <row r="3093" spans="1:4" x14ac:dyDescent="0.45">
      <c r="A3093" s="7">
        <v>45695</v>
      </c>
      <c r="B3093" t="s">
        <v>93</v>
      </c>
      <c r="C3093" t="s">
        <v>106</v>
      </c>
      <c r="D3093" s="8">
        <v>8.2899999999999991</v>
      </c>
    </row>
    <row r="3094" spans="1:4" x14ac:dyDescent="0.45">
      <c r="A3094" s="7">
        <v>45969</v>
      </c>
      <c r="B3094" t="s">
        <v>93</v>
      </c>
      <c r="C3094" t="s">
        <v>94</v>
      </c>
      <c r="D3094" s="8">
        <v>345.66</v>
      </c>
    </row>
    <row r="3095" spans="1:4" x14ac:dyDescent="0.45">
      <c r="A3095" s="7">
        <v>45576</v>
      </c>
      <c r="B3095" t="s">
        <v>95</v>
      </c>
      <c r="C3095" t="s">
        <v>105</v>
      </c>
      <c r="D3095" s="8">
        <v>266.45</v>
      </c>
    </row>
    <row r="3096" spans="1:4" x14ac:dyDescent="0.45">
      <c r="A3096" s="7">
        <v>46005</v>
      </c>
      <c r="B3096" t="s">
        <v>93</v>
      </c>
      <c r="C3096" t="s">
        <v>94</v>
      </c>
      <c r="D3096" s="8">
        <v>169.01</v>
      </c>
    </row>
    <row r="3097" spans="1:4" x14ac:dyDescent="0.45">
      <c r="A3097" s="7">
        <v>45328</v>
      </c>
      <c r="B3097" t="s">
        <v>93</v>
      </c>
      <c r="C3097" t="s">
        <v>103</v>
      </c>
      <c r="D3097" s="8">
        <v>-28.91</v>
      </c>
    </row>
    <row r="3098" spans="1:4" x14ac:dyDescent="0.45">
      <c r="A3098" s="7">
        <v>45373</v>
      </c>
      <c r="B3098" t="s">
        <v>95</v>
      </c>
      <c r="C3098" t="s">
        <v>99</v>
      </c>
      <c r="D3098" s="8">
        <v>202.21</v>
      </c>
    </row>
    <row r="3099" spans="1:4" x14ac:dyDescent="0.45">
      <c r="A3099" s="7">
        <v>45886</v>
      </c>
      <c r="B3099" t="s">
        <v>97</v>
      </c>
      <c r="C3099" t="s">
        <v>101</v>
      </c>
      <c r="D3099" s="8">
        <v>197.55</v>
      </c>
    </row>
    <row r="3100" spans="1:4" x14ac:dyDescent="0.45">
      <c r="A3100" s="7">
        <v>45798</v>
      </c>
      <c r="B3100" t="s">
        <v>93</v>
      </c>
      <c r="C3100" t="s">
        <v>103</v>
      </c>
      <c r="D3100" s="8">
        <v>380.61</v>
      </c>
    </row>
    <row r="3101" spans="1:4" x14ac:dyDescent="0.45">
      <c r="A3101" s="7">
        <v>46054</v>
      </c>
      <c r="B3101" t="s">
        <v>93</v>
      </c>
      <c r="C3101" t="s">
        <v>106</v>
      </c>
      <c r="D3101" s="8">
        <v>232.71</v>
      </c>
    </row>
    <row r="3102" spans="1:4" x14ac:dyDescent="0.45">
      <c r="A3102" s="7">
        <v>46047</v>
      </c>
      <c r="B3102" t="s">
        <v>95</v>
      </c>
      <c r="C3102" t="s">
        <v>99</v>
      </c>
      <c r="D3102" s="8">
        <v>451.1</v>
      </c>
    </row>
    <row r="3103" spans="1:4" x14ac:dyDescent="0.45">
      <c r="A3103" s="7">
        <v>45302</v>
      </c>
      <c r="B3103" t="s">
        <v>97</v>
      </c>
      <c r="C3103" t="s">
        <v>98</v>
      </c>
      <c r="D3103" s="8">
        <v>-105.42</v>
      </c>
    </row>
    <row r="3104" spans="1:4" x14ac:dyDescent="0.45">
      <c r="A3104" s="7">
        <v>45619</v>
      </c>
      <c r="B3104" t="s">
        <v>93</v>
      </c>
      <c r="C3104" t="s">
        <v>103</v>
      </c>
      <c r="D3104" s="8">
        <v>5.86</v>
      </c>
    </row>
    <row r="3105" spans="1:4" x14ac:dyDescent="0.45">
      <c r="A3105" s="7">
        <v>45308</v>
      </c>
      <c r="B3105" t="s">
        <v>97</v>
      </c>
      <c r="C3105" t="s">
        <v>104</v>
      </c>
      <c r="D3105" s="8">
        <v>238.35</v>
      </c>
    </row>
    <row r="3106" spans="1:4" x14ac:dyDescent="0.45">
      <c r="A3106" s="7">
        <v>46149</v>
      </c>
      <c r="B3106" t="s">
        <v>95</v>
      </c>
      <c r="C3106" t="s">
        <v>108</v>
      </c>
      <c r="D3106" s="8">
        <v>110.26</v>
      </c>
    </row>
    <row r="3107" spans="1:4" x14ac:dyDescent="0.45">
      <c r="A3107" s="7">
        <v>45770</v>
      </c>
      <c r="B3107" t="s">
        <v>95</v>
      </c>
      <c r="C3107" t="s">
        <v>99</v>
      </c>
      <c r="D3107" s="8">
        <v>-73.319999999999993</v>
      </c>
    </row>
    <row r="3108" spans="1:4" x14ac:dyDescent="0.45">
      <c r="A3108" s="7">
        <v>45803</v>
      </c>
      <c r="B3108" t="s">
        <v>95</v>
      </c>
      <c r="C3108" t="s">
        <v>102</v>
      </c>
      <c r="D3108" s="8">
        <v>164.83</v>
      </c>
    </row>
    <row r="3109" spans="1:4" x14ac:dyDescent="0.45">
      <c r="A3109" s="7">
        <v>45540</v>
      </c>
      <c r="B3109" t="s">
        <v>97</v>
      </c>
      <c r="C3109" t="s">
        <v>107</v>
      </c>
      <c r="D3109" s="8">
        <v>-2.78</v>
      </c>
    </row>
    <row r="3110" spans="1:4" x14ac:dyDescent="0.45">
      <c r="A3110" s="7">
        <v>45949</v>
      </c>
      <c r="B3110" t="s">
        <v>93</v>
      </c>
      <c r="C3110" t="s">
        <v>103</v>
      </c>
      <c r="D3110" s="8">
        <v>161.66999999999999</v>
      </c>
    </row>
    <row r="3111" spans="1:4" x14ac:dyDescent="0.45">
      <c r="A3111" s="7">
        <v>46009</v>
      </c>
      <c r="B3111" t="s">
        <v>95</v>
      </c>
      <c r="C3111" t="s">
        <v>99</v>
      </c>
      <c r="D3111" s="8">
        <v>-10.91</v>
      </c>
    </row>
    <row r="3112" spans="1:4" x14ac:dyDescent="0.45">
      <c r="A3112" s="7">
        <v>45370</v>
      </c>
      <c r="B3112" t="s">
        <v>95</v>
      </c>
      <c r="C3112" t="s">
        <v>102</v>
      </c>
      <c r="D3112" s="8">
        <v>216.19</v>
      </c>
    </row>
    <row r="3113" spans="1:4" x14ac:dyDescent="0.45">
      <c r="A3113" s="7">
        <v>45778</v>
      </c>
      <c r="B3113" t="s">
        <v>97</v>
      </c>
      <c r="C3113" t="s">
        <v>107</v>
      </c>
      <c r="D3113" s="8">
        <v>-44.91</v>
      </c>
    </row>
    <row r="3114" spans="1:4" x14ac:dyDescent="0.45">
      <c r="A3114" s="7">
        <v>46083</v>
      </c>
      <c r="B3114" t="s">
        <v>97</v>
      </c>
      <c r="C3114" t="s">
        <v>107</v>
      </c>
      <c r="D3114" s="8">
        <v>177.5</v>
      </c>
    </row>
    <row r="3115" spans="1:4" x14ac:dyDescent="0.45">
      <c r="A3115" s="7">
        <v>45911</v>
      </c>
      <c r="B3115" t="s">
        <v>93</v>
      </c>
      <c r="C3115" t="s">
        <v>103</v>
      </c>
      <c r="D3115" s="8">
        <v>-66.81</v>
      </c>
    </row>
    <row r="3116" spans="1:4" x14ac:dyDescent="0.45">
      <c r="A3116" s="7">
        <v>45639</v>
      </c>
      <c r="B3116" t="s">
        <v>93</v>
      </c>
      <c r="C3116" t="s">
        <v>100</v>
      </c>
      <c r="D3116" s="8">
        <v>262.95999999999998</v>
      </c>
    </row>
    <row r="3117" spans="1:4" x14ac:dyDescent="0.45">
      <c r="A3117" s="7">
        <v>45928</v>
      </c>
      <c r="B3117" t="s">
        <v>95</v>
      </c>
      <c r="C3117" t="s">
        <v>109</v>
      </c>
      <c r="D3117" s="8">
        <v>419.09</v>
      </c>
    </row>
    <row r="3118" spans="1:4" x14ac:dyDescent="0.45">
      <c r="A3118" s="7">
        <v>46180</v>
      </c>
      <c r="B3118" t="s">
        <v>95</v>
      </c>
      <c r="C3118" t="s">
        <v>96</v>
      </c>
      <c r="D3118" s="8">
        <v>303.58999999999997</v>
      </c>
    </row>
    <row r="3119" spans="1:4" x14ac:dyDescent="0.45">
      <c r="A3119" s="7">
        <v>45945</v>
      </c>
      <c r="B3119" t="s">
        <v>93</v>
      </c>
      <c r="C3119" t="s">
        <v>94</v>
      </c>
      <c r="D3119" s="8">
        <v>293.66000000000003</v>
      </c>
    </row>
    <row r="3120" spans="1:4" x14ac:dyDescent="0.45">
      <c r="A3120" s="7">
        <v>45799</v>
      </c>
      <c r="B3120" t="s">
        <v>97</v>
      </c>
      <c r="C3120" t="s">
        <v>98</v>
      </c>
      <c r="D3120" s="8">
        <v>365.7</v>
      </c>
    </row>
    <row r="3121" spans="1:4" x14ac:dyDescent="0.45">
      <c r="A3121" s="7">
        <v>45754</v>
      </c>
      <c r="B3121" t="s">
        <v>97</v>
      </c>
      <c r="C3121" t="s">
        <v>104</v>
      </c>
      <c r="D3121" s="8">
        <v>126.38</v>
      </c>
    </row>
    <row r="3122" spans="1:4" x14ac:dyDescent="0.45">
      <c r="A3122" s="7">
        <v>45451</v>
      </c>
      <c r="B3122" t="s">
        <v>95</v>
      </c>
      <c r="C3122" t="s">
        <v>99</v>
      </c>
      <c r="D3122" s="8">
        <v>-90.54</v>
      </c>
    </row>
    <row r="3123" spans="1:4" x14ac:dyDescent="0.45">
      <c r="A3123" s="7">
        <v>45730</v>
      </c>
      <c r="B3123" t="s">
        <v>97</v>
      </c>
      <c r="C3123" t="s">
        <v>107</v>
      </c>
      <c r="D3123" s="8">
        <v>478.7</v>
      </c>
    </row>
    <row r="3124" spans="1:4" x14ac:dyDescent="0.45">
      <c r="A3124" s="7">
        <v>45408</v>
      </c>
      <c r="B3124" t="s">
        <v>95</v>
      </c>
      <c r="C3124" t="s">
        <v>99</v>
      </c>
      <c r="D3124" s="8">
        <v>-44.43</v>
      </c>
    </row>
    <row r="3125" spans="1:4" x14ac:dyDescent="0.45">
      <c r="A3125" s="7">
        <v>45665</v>
      </c>
      <c r="B3125" t="s">
        <v>93</v>
      </c>
      <c r="C3125" t="s">
        <v>106</v>
      </c>
      <c r="D3125" s="8">
        <v>241.49</v>
      </c>
    </row>
    <row r="3126" spans="1:4" x14ac:dyDescent="0.45">
      <c r="A3126" s="7">
        <v>45467</v>
      </c>
      <c r="B3126" t="s">
        <v>93</v>
      </c>
      <c r="C3126" t="s">
        <v>100</v>
      </c>
      <c r="D3126" s="8">
        <v>489.83</v>
      </c>
    </row>
    <row r="3127" spans="1:4" x14ac:dyDescent="0.45">
      <c r="A3127" s="7">
        <v>46078</v>
      </c>
      <c r="B3127" t="s">
        <v>93</v>
      </c>
      <c r="C3127" t="s">
        <v>103</v>
      </c>
      <c r="D3127" s="8">
        <v>4.3099999999999996</v>
      </c>
    </row>
    <row r="3128" spans="1:4" x14ac:dyDescent="0.45">
      <c r="A3128" s="7">
        <v>45808</v>
      </c>
      <c r="B3128" t="s">
        <v>93</v>
      </c>
      <c r="C3128" t="s">
        <v>94</v>
      </c>
      <c r="D3128" s="8">
        <v>77.16</v>
      </c>
    </row>
    <row r="3129" spans="1:4" x14ac:dyDescent="0.45">
      <c r="A3129" s="7">
        <v>45537</v>
      </c>
      <c r="B3129" t="s">
        <v>93</v>
      </c>
      <c r="C3129" t="s">
        <v>106</v>
      </c>
      <c r="D3129" s="8">
        <v>447.61</v>
      </c>
    </row>
    <row r="3130" spans="1:4" x14ac:dyDescent="0.45">
      <c r="A3130" s="7">
        <v>46080</v>
      </c>
      <c r="B3130" t="s">
        <v>93</v>
      </c>
      <c r="C3130" t="s">
        <v>100</v>
      </c>
      <c r="D3130" s="8">
        <v>454</v>
      </c>
    </row>
    <row r="3131" spans="1:4" x14ac:dyDescent="0.45">
      <c r="A3131" s="7">
        <v>46105</v>
      </c>
      <c r="B3131" t="s">
        <v>93</v>
      </c>
      <c r="C3131" t="s">
        <v>94</v>
      </c>
      <c r="D3131" s="8">
        <v>-71.5</v>
      </c>
    </row>
    <row r="3132" spans="1:4" x14ac:dyDescent="0.45">
      <c r="A3132" s="7">
        <v>46013</v>
      </c>
      <c r="B3132" t="s">
        <v>93</v>
      </c>
      <c r="C3132" t="s">
        <v>94</v>
      </c>
      <c r="D3132" s="8">
        <v>87.31</v>
      </c>
    </row>
    <row r="3133" spans="1:4" x14ac:dyDescent="0.45">
      <c r="A3133" s="7">
        <v>46139</v>
      </c>
      <c r="B3133" t="s">
        <v>95</v>
      </c>
      <c r="C3133" t="s">
        <v>108</v>
      </c>
      <c r="D3133" s="8">
        <v>-66.78</v>
      </c>
    </row>
    <row r="3134" spans="1:4" x14ac:dyDescent="0.45">
      <c r="A3134" s="7">
        <v>45480</v>
      </c>
      <c r="B3134" t="s">
        <v>95</v>
      </c>
      <c r="C3134" t="s">
        <v>99</v>
      </c>
      <c r="D3134" s="8">
        <v>240.43</v>
      </c>
    </row>
    <row r="3135" spans="1:4" x14ac:dyDescent="0.45">
      <c r="A3135" s="7">
        <v>45835</v>
      </c>
      <c r="B3135" t="s">
        <v>97</v>
      </c>
      <c r="C3135" t="s">
        <v>98</v>
      </c>
      <c r="D3135" s="8">
        <v>-69.52</v>
      </c>
    </row>
    <row r="3136" spans="1:4" x14ac:dyDescent="0.45">
      <c r="A3136" s="7">
        <v>45908</v>
      </c>
      <c r="B3136" t="s">
        <v>97</v>
      </c>
      <c r="C3136" t="s">
        <v>107</v>
      </c>
      <c r="D3136" s="8">
        <v>482.4</v>
      </c>
    </row>
    <row r="3137" spans="1:4" x14ac:dyDescent="0.45">
      <c r="A3137" s="7">
        <v>45614</v>
      </c>
      <c r="B3137" t="s">
        <v>93</v>
      </c>
      <c r="C3137" t="s">
        <v>100</v>
      </c>
      <c r="D3137" s="8">
        <v>142.22999999999999</v>
      </c>
    </row>
    <row r="3138" spans="1:4" x14ac:dyDescent="0.45">
      <c r="A3138" s="7">
        <v>45533</v>
      </c>
      <c r="B3138" t="s">
        <v>93</v>
      </c>
      <c r="C3138" t="s">
        <v>103</v>
      </c>
      <c r="D3138" s="8">
        <v>317.45999999999998</v>
      </c>
    </row>
    <row r="3139" spans="1:4" x14ac:dyDescent="0.45">
      <c r="A3139" s="7">
        <v>45810</v>
      </c>
      <c r="B3139" t="s">
        <v>95</v>
      </c>
      <c r="C3139" t="s">
        <v>105</v>
      </c>
      <c r="D3139" s="8">
        <v>357.86</v>
      </c>
    </row>
    <row r="3140" spans="1:4" x14ac:dyDescent="0.45">
      <c r="A3140" s="7">
        <v>45321</v>
      </c>
      <c r="B3140" t="s">
        <v>97</v>
      </c>
      <c r="C3140" t="s">
        <v>98</v>
      </c>
      <c r="D3140" s="8">
        <v>129.22999999999999</v>
      </c>
    </row>
    <row r="3141" spans="1:4" x14ac:dyDescent="0.45">
      <c r="A3141" s="7">
        <v>46132</v>
      </c>
      <c r="B3141" t="s">
        <v>95</v>
      </c>
      <c r="C3141" t="s">
        <v>109</v>
      </c>
      <c r="D3141" s="8">
        <v>230.02</v>
      </c>
    </row>
    <row r="3142" spans="1:4" x14ac:dyDescent="0.45">
      <c r="A3142" s="7">
        <v>45612</v>
      </c>
      <c r="B3142" t="s">
        <v>93</v>
      </c>
      <c r="C3142" t="s">
        <v>106</v>
      </c>
      <c r="D3142" s="8">
        <v>81.37</v>
      </c>
    </row>
    <row r="3143" spans="1:4" x14ac:dyDescent="0.45">
      <c r="A3143" s="7">
        <v>45463</v>
      </c>
      <c r="B3143" t="s">
        <v>93</v>
      </c>
      <c r="C3143" t="s">
        <v>100</v>
      </c>
      <c r="D3143" s="8">
        <v>357.15</v>
      </c>
    </row>
    <row r="3144" spans="1:4" x14ac:dyDescent="0.45">
      <c r="A3144" s="7">
        <v>45577</v>
      </c>
      <c r="B3144" t="s">
        <v>97</v>
      </c>
      <c r="C3144" t="s">
        <v>104</v>
      </c>
      <c r="D3144" s="8">
        <v>446.65</v>
      </c>
    </row>
    <row r="3145" spans="1:4" x14ac:dyDescent="0.45">
      <c r="A3145" s="7">
        <v>45586</v>
      </c>
      <c r="B3145" t="s">
        <v>95</v>
      </c>
      <c r="C3145" t="s">
        <v>105</v>
      </c>
      <c r="D3145" s="8">
        <v>315.95999999999998</v>
      </c>
    </row>
    <row r="3146" spans="1:4" x14ac:dyDescent="0.45">
      <c r="A3146" s="7">
        <v>45526</v>
      </c>
      <c r="B3146" t="s">
        <v>93</v>
      </c>
      <c r="C3146" t="s">
        <v>100</v>
      </c>
      <c r="D3146" s="8">
        <v>-115.06</v>
      </c>
    </row>
    <row r="3147" spans="1:4" x14ac:dyDescent="0.45">
      <c r="A3147" s="7">
        <v>46130</v>
      </c>
      <c r="B3147" t="s">
        <v>97</v>
      </c>
      <c r="C3147" t="s">
        <v>104</v>
      </c>
      <c r="D3147" s="8">
        <v>403.4</v>
      </c>
    </row>
    <row r="3148" spans="1:4" x14ac:dyDescent="0.45">
      <c r="A3148" s="7">
        <v>45785</v>
      </c>
      <c r="B3148" t="s">
        <v>95</v>
      </c>
      <c r="C3148" t="s">
        <v>99</v>
      </c>
      <c r="D3148" s="8">
        <v>186.2</v>
      </c>
    </row>
    <row r="3149" spans="1:4" x14ac:dyDescent="0.45">
      <c r="A3149" s="7">
        <v>46109</v>
      </c>
      <c r="B3149" t="s">
        <v>95</v>
      </c>
      <c r="C3149" t="s">
        <v>105</v>
      </c>
      <c r="D3149" s="8">
        <v>-112.22</v>
      </c>
    </row>
    <row r="3150" spans="1:4" x14ac:dyDescent="0.45">
      <c r="A3150" s="7">
        <v>45667</v>
      </c>
      <c r="B3150" t="s">
        <v>95</v>
      </c>
      <c r="C3150" t="s">
        <v>109</v>
      </c>
      <c r="D3150" s="8">
        <v>488.96</v>
      </c>
    </row>
    <row r="3151" spans="1:4" x14ac:dyDescent="0.45">
      <c r="A3151" s="7">
        <v>45421</v>
      </c>
      <c r="B3151" t="s">
        <v>93</v>
      </c>
      <c r="C3151" t="s">
        <v>103</v>
      </c>
      <c r="D3151" s="8">
        <v>178.13</v>
      </c>
    </row>
    <row r="3152" spans="1:4" x14ac:dyDescent="0.45">
      <c r="A3152" s="7">
        <v>45625</v>
      </c>
      <c r="B3152" t="s">
        <v>95</v>
      </c>
      <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</c>
      <c r="C3153" t="s">
        <v>109</v>
      </c>
      <c r="D3153" s="8">
        <v>43.33</v>
      </c>
    </row>
    <row r="3154" spans="1:4" x14ac:dyDescent="0.45">
      <c r="A3154" s="7">
        <v>45952</v>
      </c>
      <c r="B3154" t="s">
        <v>97</v>
      </c>
      <c r="C3154" t="s">
        <v>104</v>
      </c>
      <c r="D3154" s="8">
        <v>18.02</v>
      </c>
    </row>
    <row r="3155" spans="1:4" x14ac:dyDescent="0.45">
      <c r="A3155" s="7">
        <v>45405</v>
      </c>
      <c r="B3155" t="s">
        <v>93</v>
      </c>
      <c r="C3155" t="s">
        <v>94</v>
      </c>
      <c r="D3155" s="8">
        <v>73.48</v>
      </c>
    </row>
    <row r="3156" spans="1:4" x14ac:dyDescent="0.45">
      <c r="A3156" s="7">
        <v>46097</v>
      </c>
      <c r="B3156" t="s">
        <v>97</v>
      </c>
      <c r="C3156" t="s">
        <v>101</v>
      </c>
      <c r="D3156" s="8">
        <v>119.94</v>
      </c>
    </row>
    <row r="3157" spans="1:4" x14ac:dyDescent="0.45">
      <c r="A3157" s="7">
        <v>45549</v>
      </c>
      <c r="B3157" t="s">
        <v>95</v>
      </c>
      <c r="C3157" t="s">
        <v>108</v>
      </c>
      <c r="D3157" s="8">
        <v>83.18</v>
      </c>
    </row>
    <row r="3158" spans="1:4" x14ac:dyDescent="0.45">
      <c r="A3158" s="7">
        <v>45779</v>
      </c>
      <c r="B3158" t="s">
        <v>95</v>
      </c>
      <c r="C3158" t="s">
        <v>96</v>
      </c>
      <c r="D3158" s="8">
        <v>201.65</v>
      </c>
    </row>
    <row r="3159" spans="1:4" x14ac:dyDescent="0.45">
      <c r="A3159" s="7">
        <v>45675</v>
      </c>
      <c r="B3159" t="s">
        <v>97</v>
      </c>
      <c r="C3159" t="s">
        <v>98</v>
      </c>
      <c r="D3159" s="8">
        <v>491.61</v>
      </c>
    </row>
    <row r="3160" spans="1:4" x14ac:dyDescent="0.45">
      <c r="A3160" s="7">
        <v>45349</v>
      </c>
      <c r="B3160" t="s">
        <v>95</v>
      </c>
      <c r="C3160" t="s">
        <v>105</v>
      </c>
      <c r="D3160" s="8">
        <v>-145.44999999999999</v>
      </c>
    </row>
    <row r="3161" spans="1:4" x14ac:dyDescent="0.45">
      <c r="A3161" s="7">
        <v>45353</v>
      </c>
      <c r="B3161" t="s">
        <v>97</v>
      </c>
      <c r="C3161" t="s">
        <v>101</v>
      </c>
      <c r="D3161" s="8">
        <v>269.83</v>
      </c>
    </row>
    <row r="3162" spans="1:4" x14ac:dyDescent="0.45">
      <c r="A3162" s="7">
        <v>45516</v>
      </c>
      <c r="B3162" t="s">
        <v>97</v>
      </c>
      <c r="C3162" t="s">
        <v>101</v>
      </c>
      <c r="D3162" s="8">
        <v>71.12</v>
      </c>
    </row>
    <row r="3163" spans="1:4" x14ac:dyDescent="0.45">
      <c r="A3163" s="7">
        <v>45444</v>
      </c>
      <c r="B3163" t="s">
        <v>95</v>
      </c>
      <c r="C3163" t="s">
        <v>96</v>
      </c>
      <c r="D3163" s="8">
        <v>88.38</v>
      </c>
    </row>
    <row r="3164" spans="1:4" x14ac:dyDescent="0.45">
      <c r="A3164" s="7">
        <v>45448</v>
      </c>
      <c r="B3164" t="s">
        <v>93</v>
      </c>
      <c r="C3164" t="s">
        <v>94</v>
      </c>
      <c r="D3164" s="8">
        <v>402.96</v>
      </c>
    </row>
    <row r="3165" spans="1:4" x14ac:dyDescent="0.45">
      <c r="A3165" s="7">
        <v>46184</v>
      </c>
      <c r="B3165" t="s">
        <v>93</v>
      </c>
      <c r="C3165" t="s">
        <v>106</v>
      </c>
      <c r="D3165" s="8">
        <v>164.81</v>
      </c>
    </row>
    <row r="3166" spans="1:4" x14ac:dyDescent="0.45">
      <c r="A3166" s="7">
        <v>45628</v>
      </c>
      <c r="B3166" t="s">
        <v>95</v>
      </c>
      <c r="C3166" t="s">
        <v>108</v>
      </c>
      <c r="D3166" s="8">
        <v>250.19</v>
      </c>
    </row>
    <row r="3167" spans="1:4" x14ac:dyDescent="0.45">
      <c r="A3167" s="7">
        <v>45554</v>
      </c>
      <c r="B3167" t="s">
        <v>97</v>
      </c>
      <c r="C3167" t="s">
        <v>98</v>
      </c>
      <c r="D3167" s="8">
        <v>-79.53</v>
      </c>
    </row>
    <row r="3168" spans="1:4" x14ac:dyDescent="0.45">
      <c r="A3168" s="7">
        <v>45368</v>
      </c>
      <c r="B3168" t="s">
        <v>93</v>
      </c>
      <c r="C3168" t="s">
        <v>94</v>
      </c>
      <c r="D3168" s="8">
        <v>27.72</v>
      </c>
    </row>
    <row r="3169" spans="1:4" x14ac:dyDescent="0.45">
      <c r="A3169" s="7">
        <v>46157</v>
      </c>
      <c r="B3169" t="s">
        <v>95</v>
      </c>
      <c r="C3169" t="s">
        <v>109</v>
      </c>
      <c r="D3169" s="8">
        <v>416.69</v>
      </c>
    </row>
    <row r="3170" spans="1:4" x14ac:dyDescent="0.45">
      <c r="A3170" s="7">
        <v>45724</v>
      </c>
      <c r="B3170" t="s">
        <v>97</v>
      </c>
      <c r="C3170" t="s">
        <v>107</v>
      </c>
      <c r="D3170" s="8">
        <v>135.36000000000001</v>
      </c>
    </row>
    <row r="3171" spans="1:4" x14ac:dyDescent="0.45">
      <c r="A3171" s="7">
        <v>45516</v>
      </c>
      <c r="B3171" t="s">
        <v>93</v>
      </c>
      <c r="C3171" t="s">
        <v>94</v>
      </c>
      <c r="D3171" s="8">
        <v>-104.45</v>
      </c>
    </row>
    <row r="3172" spans="1:4" x14ac:dyDescent="0.45">
      <c r="A3172" s="7">
        <v>45654</v>
      </c>
      <c r="B3172" t="s">
        <v>93</v>
      </c>
      <c r="C3172" t="s">
        <v>94</v>
      </c>
      <c r="D3172" s="8">
        <v>222.97</v>
      </c>
    </row>
    <row r="3173" spans="1:4" x14ac:dyDescent="0.45">
      <c r="A3173" s="7">
        <v>45823</v>
      </c>
      <c r="B3173" t="s">
        <v>97</v>
      </c>
      <c r="C3173" t="s">
        <v>98</v>
      </c>
      <c r="D3173" s="8">
        <v>154.13</v>
      </c>
    </row>
    <row r="3174" spans="1:4" x14ac:dyDescent="0.45">
      <c r="A3174" s="7">
        <v>45780</v>
      </c>
      <c r="B3174" t="s">
        <v>95</v>
      </c>
      <c r="C3174" t="s">
        <v>102</v>
      </c>
      <c r="D3174" s="8">
        <v>257.33</v>
      </c>
    </row>
    <row r="3175" spans="1:4" x14ac:dyDescent="0.45">
      <c r="A3175" s="7">
        <v>46140</v>
      </c>
      <c r="B3175" t="s">
        <v>97</v>
      </c>
      <c r="C3175" t="s">
        <v>101</v>
      </c>
      <c r="D3175" s="8">
        <v>1.08</v>
      </c>
    </row>
    <row r="3176" spans="1:4" x14ac:dyDescent="0.45">
      <c r="A3176" s="7">
        <v>45717</v>
      </c>
      <c r="B3176" t="s">
        <v>95</v>
      </c>
      <c r="C3176" t="s">
        <v>102</v>
      </c>
      <c r="D3176" s="8">
        <v>196.31</v>
      </c>
    </row>
    <row r="3177" spans="1:4" x14ac:dyDescent="0.45">
      <c r="A3177" s="7">
        <v>45522</v>
      </c>
      <c r="B3177" t="s">
        <v>95</v>
      </c>
      <c r="C3177" t="s">
        <v>99</v>
      </c>
      <c r="D3177" s="8">
        <v>431.01</v>
      </c>
    </row>
    <row r="3178" spans="1:4" x14ac:dyDescent="0.45">
      <c r="A3178" s="7">
        <v>46137</v>
      </c>
      <c r="B3178" t="s">
        <v>95</v>
      </c>
      <c r="C3178" t="s">
        <v>96</v>
      </c>
      <c r="D3178" s="8">
        <v>392.2</v>
      </c>
    </row>
    <row r="3179" spans="1:4" x14ac:dyDescent="0.45">
      <c r="A3179" s="7">
        <v>45321</v>
      </c>
      <c r="B3179" t="s">
        <v>95</v>
      </c>
      <c r="C3179" t="s">
        <v>108</v>
      </c>
      <c r="D3179" s="8">
        <v>337.2</v>
      </c>
    </row>
    <row r="3180" spans="1:4" x14ac:dyDescent="0.45">
      <c r="A3180" s="7">
        <v>45447</v>
      </c>
      <c r="B3180" t="s">
        <v>93</v>
      </c>
      <c r="C3180" t="s">
        <v>103</v>
      </c>
      <c r="D3180" s="8">
        <v>246.39</v>
      </c>
    </row>
    <row r="3181" spans="1:4" x14ac:dyDescent="0.45">
      <c r="A3181" s="7">
        <v>46150</v>
      </c>
      <c r="B3181" t="s">
        <v>93</v>
      </c>
      <c r="C3181" t="s">
        <v>106</v>
      </c>
      <c r="D3181" s="8">
        <v>314.73</v>
      </c>
    </row>
    <row r="3182" spans="1:4" x14ac:dyDescent="0.45">
      <c r="A3182" s="7">
        <v>45686</v>
      </c>
      <c r="B3182" t="s">
        <v>93</v>
      </c>
      <c r="C3182" t="s">
        <v>103</v>
      </c>
      <c r="D3182" s="8">
        <v>-78.010000000000005</v>
      </c>
    </row>
    <row r="3183" spans="1:4" x14ac:dyDescent="0.45">
      <c r="A3183" s="7">
        <v>45811</v>
      </c>
      <c r="B3183" t="s">
        <v>95</v>
      </c>
      <c r="C3183" t="s">
        <v>109</v>
      </c>
      <c r="D3183" s="8">
        <v>86.62</v>
      </c>
    </row>
    <row r="3184" spans="1:4" x14ac:dyDescent="0.45">
      <c r="A3184" s="7">
        <v>45735</v>
      </c>
      <c r="B3184" t="s">
        <v>93</v>
      </c>
      <c r="C3184" t="s">
        <v>103</v>
      </c>
      <c r="D3184" s="8">
        <v>74.3</v>
      </c>
    </row>
    <row r="3185" spans="1:4" x14ac:dyDescent="0.45">
      <c r="A3185" s="7">
        <v>45695</v>
      </c>
      <c r="B3185" t="s">
        <v>95</v>
      </c>
      <c r="C3185" t="s">
        <v>99</v>
      </c>
      <c r="D3185" s="8">
        <v>-112.41</v>
      </c>
    </row>
    <row r="3186" spans="1:4" x14ac:dyDescent="0.45">
      <c r="A3186" s="7">
        <v>45299</v>
      </c>
      <c r="B3186" t="s">
        <v>93</v>
      </c>
      <c r="C3186" t="s">
        <v>100</v>
      </c>
      <c r="D3186" s="8">
        <v>84.6</v>
      </c>
    </row>
    <row r="3187" spans="1:4" x14ac:dyDescent="0.45">
      <c r="A3187" s="7">
        <v>45322</v>
      </c>
      <c r="B3187" t="s">
        <v>97</v>
      </c>
      <c r="C3187" t="s">
        <v>101</v>
      </c>
      <c r="D3187" s="8">
        <v>-59.48</v>
      </c>
    </row>
    <row r="3188" spans="1:4" x14ac:dyDescent="0.45">
      <c r="A3188" s="7">
        <v>46121</v>
      </c>
      <c r="B3188" t="s">
        <v>95</v>
      </c>
      <c r="C3188" t="s">
        <v>105</v>
      </c>
      <c r="D3188" s="8">
        <v>-7.48</v>
      </c>
    </row>
    <row r="3189" spans="1:4" x14ac:dyDescent="0.45">
      <c r="A3189" s="7">
        <v>45939</v>
      </c>
      <c r="B3189" t="s">
        <v>97</v>
      </c>
      <c r="C3189" t="s">
        <v>101</v>
      </c>
      <c r="D3189" s="8">
        <v>-72.989999999999995</v>
      </c>
    </row>
    <row r="3190" spans="1:4" x14ac:dyDescent="0.45">
      <c r="A3190" s="7">
        <v>45419</v>
      </c>
      <c r="B3190" t="s">
        <v>93</v>
      </c>
      <c r="C3190" t="s">
        <v>106</v>
      </c>
      <c r="D3190" s="8">
        <v>-40.75</v>
      </c>
    </row>
    <row r="3191" spans="1:4" x14ac:dyDescent="0.45">
      <c r="A3191" s="7">
        <v>45674</v>
      </c>
      <c r="B3191" t="s">
        <v>95</v>
      </c>
      <c r="C3191" t="s">
        <v>108</v>
      </c>
      <c r="D3191" s="8">
        <v>-52.39</v>
      </c>
    </row>
    <row r="3192" spans="1:4" x14ac:dyDescent="0.45">
      <c r="A3192" s="7">
        <v>45726</v>
      </c>
      <c r="B3192" t="s">
        <v>97</v>
      </c>
      <c r="C3192" t="s">
        <v>101</v>
      </c>
      <c r="D3192" s="8">
        <v>410.19</v>
      </c>
    </row>
    <row r="3193" spans="1:4" x14ac:dyDescent="0.45">
      <c r="A3193" s="7">
        <v>45656</v>
      </c>
      <c r="B3193" t="s">
        <v>97</v>
      </c>
      <c r="C3193" t="s">
        <v>107</v>
      </c>
      <c r="D3193" s="8">
        <v>252.48</v>
      </c>
    </row>
    <row r="3194" spans="1:4" x14ac:dyDescent="0.45">
      <c r="A3194" s="7">
        <v>46068</v>
      </c>
      <c r="B3194" t="s">
        <v>93</v>
      </c>
      <c r="C3194" t="s">
        <v>106</v>
      </c>
      <c r="D3194" s="8">
        <v>421.17</v>
      </c>
    </row>
    <row r="3195" spans="1:4" x14ac:dyDescent="0.45">
      <c r="A3195" s="7">
        <v>45903</v>
      </c>
      <c r="B3195" t="s">
        <v>97</v>
      </c>
      <c r="C3195" t="s">
        <v>107</v>
      </c>
      <c r="D3195" s="8">
        <v>29.24</v>
      </c>
    </row>
    <row r="3196" spans="1:4" x14ac:dyDescent="0.45">
      <c r="A3196" s="7">
        <v>46159</v>
      </c>
      <c r="B3196" t="s">
        <v>95</v>
      </c>
      <c r="C3196" t="s">
        <v>105</v>
      </c>
      <c r="D3196" s="8">
        <v>278.13</v>
      </c>
    </row>
    <row r="3197" spans="1:4" x14ac:dyDescent="0.45">
      <c r="A3197" s="7">
        <v>45772</v>
      </c>
      <c r="B3197" t="s">
        <v>93</v>
      </c>
      <c r="C3197" t="s">
        <v>94</v>
      </c>
      <c r="D3197" s="8">
        <v>134.53</v>
      </c>
    </row>
    <row r="3198" spans="1:4" x14ac:dyDescent="0.45">
      <c r="A3198" s="7">
        <v>45500</v>
      </c>
      <c r="B3198" t="s">
        <v>97</v>
      </c>
      <c r="C3198" t="s">
        <v>107</v>
      </c>
      <c r="D3198" s="8">
        <v>225.35</v>
      </c>
    </row>
    <row r="3199" spans="1:4" x14ac:dyDescent="0.45">
      <c r="A3199" s="7">
        <v>46012</v>
      </c>
      <c r="B3199" t="s">
        <v>97</v>
      </c>
      <c r="C3199" t="s">
        <v>107</v>
      </c>
      <c r="D3199" s="8">
        <v>-58.28</v>
      </c>
    </row>
    <row r="3200" spans="1:4" x14ac:dyDescent="0.45">
      <c r="A3200" s="7">
        <v>46113</v>
      </c>
      <c r="B3200" t="s">
        <v>97</v>
      </c>
      <c r="C3200" t="s">
        <v>101</v>
      </c>
      <c r="D3200" s="8">
        <v>423.51</v>
      </c>
    </row>
    <row r="3201" spans="1:4" x14ac:dyDescent="0.45">
      <c r="A3201" s="7">
        <v>46005</v>
      </c>
      <c r="B3201" t="s">
        <v>97</v>
      </c>
      <c r="C3201" t="s">
        <v>104</v>
      </c>
      <c r="D3201" s="8">
        <v>271.10000000000002</v>
      </c>
    </row>
    <row r="3202" spans="1:4" x14ac:dyDescent="0.45">
      <c r="A3202" s="7">
        <v>45954</v>
      </c>
      <c r="B3202" t="s">
        <v>93</v>
      </c>
      <c r="C3202" t="s">
        <v>94</v>
      </c>
      <c r="D3202" s="8">
        <v>-6.34</v>
      </c>
    </row>
    <row r="3203" spans="1:4" x14ac:dyDescent="0.45">
      <c r="A3203" s="7">
        <v>45874</v>
      </c>
      <c r="B3203" t="s">
        <v>95</v>
      </c>
      <c r="C3203" t="s">
        <v>109</v>
      </c>
      <c r="D3203" s="8">
        <v>487.85</v>
      </c>
    </row>
    <row r="3204" spans="1:4" x14ac:dyDescent="0.45">
      <c r="A3204" s="7">
        <v>46053</v>
      </c>
      <c r="B3204" t="s">
        <v>95</v>
      </c>
      <c r="C3204" t="s">
        <v>99</v>
      </c>
      <c r="D3204" s="8">
        <v>407.48</v>
      </c>
    </row>
    <row r="3205" spans="1:4" x14ac:dyDescent="0.45">
      <c r="A3205" s="7">
        <v>46105</v>
      </c>
      <c r="B3205" t="s">
        <v>97</v>
      </c>
      <c r="C3205" t="s">
        <v>101</v>
      </c>
      <c r="D3205" s="8">
        <v>266.5</v>
      </c>
    </row>
    <row r="3206" spans="1:4" x14ac:dyDescent="0.45">
      <c r="A3206" s="7">
        <v>45316</v>
      </c>
      <c r="B3206" t="s">
        <v>93</v>
      </c>
      <c r="C3206" t="s">
        <v>94</v>
      </c>
      <c r="D3206" s="8">
        <v>304.92</v>
      </c>
    </row>
    <row r="3207" spans="1:4" x14ac:dyDescent="0.45">
      <c r="A3207" s="7">
        <v>45747</v>
      </c>
      <c r="B3207" t="s">
        <v>97</v>
      </c>
      <c r="C3207" t="s">
        <v>101</v>
      </c>
      <c r="D3207" s="8">
        <v>426</v>
      </c>
    </row>
    <row r="3208" spans="1:4" x14ac:dyDescent="0.45">
      <c r="A3208" s="7">
        <v>45553</v>
      </c>
      <c r="B3208" t="s">
        <v>97</v>
      </c>
      <c r="C3208" t="s">
        <v>101</v>
      </c>
      <c r="D3208" s="8">
        <v>-86.34</v>
      </c>
    </row>
    <row r="3209" spans="1:4" x14ac:dyDescent="0.45">
      <c r="A3209" s="7">
        <v>45459</v>
      </c>
      <c r="B3209" t="s">
        <v>93</v>
      </c>
      <c r="C3209" t="s">
        <v>100</v>
      </c>
      <c r="D3209" s="8">
        <v>266.48</v>
      </c>
    </row>
    <row r="3210" spans="1:4" x14ac:dyDescent="0.45">
      <c r="A3210" s="7">
        <v>45652</v>
      </c>
      <c r="B3210" t="s">
        <v>93</v>
      </c>
      <c r="C3210" t="s">
        <v>100</v>
      </c>
      <c r="D3210" s="8">
        <v>493.22</v>
      </c>
    </row>
    <row r="3211" spans="1:4" x14ac:dyDescent="0.45">
      <c r="A3211" s="7">
        <v>46009</v>
      </c>
      <c r="B3211" t="s">
        <v>95</v>
      </c>
      <c r="C3211" t="s">
        <v>99</v>
      </c>
      <c r="D3211" s="8">
        <v>71.209999999999994</v>
      </c>
    </row>
    <row r="3212" spans="1:4" x14ac:dyDescent="0.45">
      <c r="A3212" s="7">
        <v>45358</v>
      </c>
      <c r="B3212" t="s">
        <v>97</v>
      </c>
      <c r="C3212" t="s">
        <v>98</v>
      </c>
      <c r="D3212" s="8">
        <v>244.33</v>
      </c>
    </row>
    <row r="3213" spans="1:4" x14ac:dyDescent="0.45">
      <c r="A3213" s="7">
        <v>45464</v>
      </c>
      <c r="B3213" t="s">
        <v>95</v>
      </c>
      <c r="C3213" t="s">
        <v>96</v>
      </c>
      <c r="D3213" s="8">
        <v>237.64</v>
      </c>
    </row>
    <row r="3214" spans="1:4" x14ac:dyDescent="0.45">
      <c r="A3214" s="7">
        <v>46008</v>
      </c>
      <c r="B3214" t="s">
        <v>95</v>
      </c>
      <c r="C3214" t="s">
        <v>109</v>
      </c>
      <c r="D3214" s="8">
        <v>-68.91</v>
      </c>
    </row>
    <row r="3215" spans="1:4" x14ac:dyDescent="0.45">
      <c r="A3215" s="7">
        <v>45388</v>
      </c>
      <c r="B3215" t="s">
        <v>95</v>
      </c>
      <c r="C3215" t="s">
        <v>102</v>
      </c>
      <c r="D3215" s="8">
        <v>255.81</v>
      </c>
    </row>
    <row r="3216" spans="1:4" x14ac:dyDescent="0.45">
      <c r="A3216" s="7">
        <v>45447</v>
      </c>
      <c r="B3216" t="s">
        <v>95</v>
      </c>
      <c r="C3216" t="s">
        <v>96</v>
      </c>
      <c r="D3216" s="8">
        <v>69.83</v>
      </c>
    </row>
    <row r="3217" spans="1:4" x14ac:dyDescent="0.45">
      <c r="A3217" s="7">
        <v>45845</v>
      </c>
      <c r="B3217" t="s">
        <v>95</v>
      </c>
      <c r="C3217" t="s">
        <v>102</v>
      </c>
      <c r="D3217" s="8">
        <v>-71.92</v>
      </c>
    </row>
    <row r="3218" spans="1:4" x14ac:dyDescent="0.45">
      <c r="A3218" s="7">
        <v>45360</v>
      </c>
      <c r="B3218" t="s">
        <v>97</v>
      </c>
      <c r="C3218" t="s">
        <v>104</v>
      </c>
      <c r="D3218" s="8">
        <v>41.94</v>
      </c>
    </row>
    <row r="3219" spans="1:4" x14ac:dyDescent="0.45">
      <c r="A3219" s="7">
        <v>45644</v>
      </c>
      <c r="B3219" t="s">
        <v>93</v>
      </c>
      <c r="C3219" t="s">
        <v>106</v>
      </c>
      <c r="D3219" s="8">
        <v>236.95</v>
      </c>
    </row>
    <row r="3220" spans="1:4" x14ac:dyDescent="0.45">
      <c r="A3220" s="7">
        <v>45312</v>
      </c>
      <c r="B3220" t="s">
        <v>93</v>
      </c>
      <c r="C3220" t="s">
        <v>106</v>
      </c>
      <c r="D3220" s="8">
        <v>350.04</v>
      </c>
    </row>
    <row r="3221" spans="1:4" x14ac:dyDescent="0.45">
      <c r="A3221" s="7">
        <v>45749</v>
      </c>
      <c r="B3221" t="s">
        <v>93</v>
      </c>
      <c r="C3221" t="s">
        <v>100</v>
      </c>
      <c r="D3221" s="8">
        <v>451.13</v>
      </c>
    </row>
    <row r="3222" spans="1:4" x14ac:dyDescent="0.45">
      <c r="A3222" s="7">
        <v>45773</v>
      </c>
      <c r="B3222" t="s">
        <v>93</v>
      </c>
      <c r="C3222" t="s">
        <v>103</v>
      </c>
      <c r="D3222" s="8">
        <v>45.64</v>
      </c>
    </row>
    <row r="3223" spans="1:4" x14ac:dyDescent="0.45">
      <c r="A3223" s="7">
        <v>46179</v>
      </c>
      <c r="B3223" t="s">
        <v>93</v>
      </c>
      <c r="C3223" t="s">
        <v>94</v>
      </c>
      <c r="D3223" s="8">
        <v>385.54</v>
      </c>
    </row>
    <row r="3224" spans="1:4" x14ac:dyDescent="0.45">
      <c r="A3224" s="7">
        <v>45593</v>
      </c>
      <c r="B3224" t="s">
        <v>97</v>
      </c>
      <c r="C3224" t="s">
        <v>107</v>
      </c>
      <c r="D3224" s="8">
        <v>-65.650000000000006</v>
      </c>
    </row>
    <row r="3225" spans="1:4" x14ac:dyDescent="0.45">
      <c r="A3225" s="7">
        <v>45968</v>
      </c>
      <c r="B3225" t="s">
        <v>93</v>
      </c>
      <c r="C3225" t="s">
        <v>94</v>
      </c>
      <c r="D3225" s="8">
        <v>-118.97</v>
      </c>
    </row>
    <row r="3226" spans="1:4" x14ac:dyDescent="0.45">
      <c r="A3226" s="7">
        <v>46068</v>
      </c>
      <c r="B3226" t="s">
        <v>97</v>
      </c>
      <c r="C3226" t="s">
        <v>98</v>
      </c>
      <c r="D3226" s="8">
        <v>-130.54</v>
      </c>
    </row>
    <row r="3227" spans="1:4" x14ac:dyDescent="0.45">
      <c r="A3227" s="7">
        <v>45460</v>
      </c>
      <c r="B3227" t="s">
        <v>95</v>
      </c>
      <c r="C3227" t="s">
        <v>105</v>
      </c>
      <c r="D3227" s="8">
        <v>378.31</v>
      </c>
    </row>
    <row r="3228" spans="1:4" x14ac:dyDescent="0.45">
      <c r="A3228" s="7">
        <v>45906</v>
      </c>
      <c r="B3228" t="s">
        <v>97</v>
      </c>
      <c r="C3228" t="s">
        <v>104</v>
      </c>
      <c r="D3228" s="8">
        <v>20.04</v>
      </c>
    </row>
    <row r="3229" spans="1:4" x14ac:dyDescent="0.45">
      <c r="A3229" s="7">
        <v>45787</v>
      </c>
      <c r="B3229" t="s">
        <v>97</v>
      </c>
      <c r="C3229" t="s">
        <v>104</v>
      </c>
      <c r="D3229" s="8">
        <v>332.21</v>
      </c>
    </row>
    <row r="3230" spans="1:4" x14ac:dyDescent="0.45">
      <c r="A3230" s="7">
        <v>45604</v>
      </c>
      <c r="B3230" t="s">
        <v>93</v>
      </c>
      <c r="C3230" t="s">
        <v>94</v>
      </c>
      <c r="D3230" s="8">
        <v>-143.29</v>
      </c>
    </row>
    <row r="3231" spans="1:4" x14ac:dyDescent="0.45">
      <c r="A3231" s="7">
        <v>46162</v>
      </c>
      <c r="B3231" t="s">
        <v>93</v>
      </c>
      <c r="C3231" t="s">
        <v>106</v>
      </c>
      <c r="D3231" s="8">
        <v>174.07</v>
      </c>
    </row>
    <row r="3232" spans="1:4" x14ac:dyDescent="0.45">
      <c r="A3232" s="7">
        <v>45861</v>
      </c>
      <c r="B3232" t="s">
        <v>93</v>
      </c>
      <c r="C3232" t="s">
        <v>106</v>
      </c>
      <c r="D3232" s="8">
        <v>328.4</v>
      </c>
    </row>
    <row r="3233" spans="1:4" x14ac:dyDescent="0.45">
      <c r="A3233" s="7">
        <v>45775</v>
      </c>
      <c r="B3233" t="s">
        <v>93</v>
      </c>
      <c r="C3233" t="s">
        <v>100</v>
      </c>
      <c r="D3233" s="8">
        <v>175.26</v>
      </c>
    </row>
    <row r="3234" spans="1:4" x14ac:dyDescent="0.45">
      <c r="A3234" s="7">
        <v>45899</v>
      </c>
      <c r="B3234" t="s">
        <v>95</v>
      </c>
      <c r="C3234" t="s">
        <v>99</v>
      </c>
      <c r="D3234" s="8">
        <v>389.34</v>
      </c>
    </row>
    <row r="3235" spans="1:4" x14ac:dyDescent="0.45">
      <c r="A3235" s="7">
        <v>45917</v>
      </c>
      <c r="B3235" t="s">
        <v>93</v>
      </c>
      <c r="C3235" t="s">
        <v>100</v>
      </c>
      <c r="D3235" s="8">
        <v>-73.790000000000006</v>
      </c>
    </row>
    <row r="3236" spans="1:4" x14ac:dyDescent="0.45">
      <c r="A3236" s="7">
        <v>45740</v>
      </c>
      <c r="B3236" t="s">
        <v>93</v>
      </c>
      <c r="C3236" t="s">
        <v>100</v>
      </c>
      <c r="D3236" s="8">
        <v>-85.7</v>
      </c>
    </row>
    <row r="3237" spans="1:4" x14ac:dyDescent="0.45">
      <c r="A3237" s="7">
        <v>46139</v>
      </c>
      <c r="B3237" t="s">
        <v>93</v>
      </c>
      <c r="C3237" t="s">
        <v>103</v>
      </c>
      <c r="D3237" s="8">
        <v>-128.75</v>
      </c>
    </row>
    <row r="3238" spans="1:4" x14ac:dyDescent="0.45">
      <c r="A3238" s="7">
        <v>45440</v>
      </c>
      <c r="B3238" t="s">
        <v>97</v>
      </c>
      <c r="C3238" t="s">
        <v>101</v>
      </c>
      <c r="D3238" s="8">
        <v>279.39</v>
      </c>
    </row>
    <row r="3239" spans="1:4" x14ac:dyDescent="0.45">
      <c r="A3239" s="7">
        <v>46104</v>
      </c>
      <c r="B3239" t="s">
        <v>93</v>
      </c>
      <c r="C3239" t="s">
        <v>94</v>
      </c>
      <c r="D3239" s="8">
        <v>369.48</v>
      </c>
    </row>
    <row r="3240" spans="1:4" x14ac:dyDescent="0.45">
      <c r="A3240" s="7">
        <v>46123</v>
      </c>
      <c r="B3240" t="s">
        <v>97</v>
      </c>
      <c r="C3240" t="s">
        <v>107</v>
      </c>
      <c r="D3240" s="8">
        <v>412.26</v>
      </c>
    </row>
    <row r="3241" spans="1:4" x14ac:dyDescent="0.45">
      <c r="A3241" s="7">
        <v>45863</v>
      </c>
      <c r="B3241" t="s">
        <v>97</v>
      </c>
      <c r="C3241" t="s">
        <v>98</v>
      </c>
      <c r="D3241" s="8">
        <v>-35.69</v>
      </c>
    </row>
    <row r="3242" spans="1:4" x14ac:dyDescent="0.45">
      <c r="A3242" s="7">
        <v>45817</v>
      </c>
      <c r="B3242" t="s">
        <v>95</v>
      </c>
      <c r="C3242" t="s">
        <v>105</v>
      </c>
      <c r="D3242" s="8">
        <v>-16.3</v>
      </c>
    </row>
    <row r="3243" spans="1:4" x14ac:dyDescent="0.45">
      <c r="A3243" s="7">
        <v>46053</v>
      </c>
      <c r="B3243" t="s">
        <v>97</v>
      </c>
      <c r="C3243" t="s">
        <v>101</v>
      </c>
      <c r="D3243" s="8">
        <v>366.7</v>
      </c>
    </row>
    <row r="3244" spans="1:4" x14ac:dyDescent="0.45">
      <c r="A3244" s="7">
        <v>46132</v>
      </c>
      <c r="B3244" t="s">
        <v>93</v>
      </c>
      <c r="C3244" t="s">
        <v>94</v>
      </c>
      <c r="D3244" s="8">
        <v>247.79</v>
      </c>
    </row>
    <row r="3245" spans="1:4" x14ac:dyDescent="0.45">
      <c r="A3245" s="7">
        <v>45460</v>
      </c>
      <c r="B3245" t="s">
        <v>95</v>
      </c>
      <c r="C3245" t="s">
        <v>99</v>
      </c>
      <c r="D3245" s="8">
        <v>52.4</v>
      </c>
    </row>
    <row r="3246" spans="1:4" x14ac:dyDescent="0.45">
      <c r="A3246" s="7">
        <v>45649</v>
      </c>
      <c r="B3246" t="s">
        <v>93</v>
      </c>
      <c r="C3246" t="s">
        <v>103</v>
      </c>
      <c r="D3246" s="8">
        <v>449.84</v>
      </c>
    </row>
    <row r="3247" spans="1:4" x14ac:dyDescent="0.45">
      <c r="A3247" s="7">
        <v>45666</v>
      </c>
      <c r="B3247" t="s">
        <v>97</v>
      </c>
      <c r="C3247" t="s">
        <v>104</v>
      </c>
      <c r="D3247" s="8">
        <v>223.26</v>
      </c>
    </row>
    <row r="3248" spans="1:4" x14ac:dyDescent="0.45">
      <c r="A3248" s="7">
        <v>46087</v>
      </c>
      <c r="B3248" t="s">
        <v>93</v>
      </c>
      <c r="C3248" t="s">
        <v>106</v>
      </c>
      <c r="D3248" s="8">
        <v>309.91000000000003</v>
      </c>
    </row>
    <row r="3249" spans="1:4" x14ac:dyDescent="0.45">
      <c r="A3249" s="7">
        <v>45670</v>
      </c>
      <c r="B3249" t="s">
        <v>93</v>
      </c>
      <c r="C3249" t="s">
        <v>103</v>
      </c>
      <c r="D3249" s="8">
        <v>247.87</v>
      </c>
    </row>
    <row r="3250" spans="1:4" x14ac:dyDescent="0.45">
      <c r="A3250" s="7">
        <v>45888</v>
      </c>
      <c r="B3250" t="s">
        <v>95</v>
      </c>
      <c r="C3250" t="s">
        <v>105</v>
      </c>
      <c r="D3250" s="8">
        <v>381.62</v>
      </c>
    </row>
    <row r="3251" spans="1:4" x14ac:dyDescent="0.45">
      <c r="A3251" s="7">
        <v>46021</v>
      </c>
      <c r="B3251" t="s">
        <v>97</v>
      </c>
      <c r="C3251" t="s">
        <v>104</v>
      </c>
      <c r="D3251" s="8">
        <v>497.9</v>
      </c>
    </row>
    <row r="3252" spans="1:4" x14ac:dyDescent="0.45">
      <c r="A3252" s="7">
        <v>45748</v>
      </c>
      <c r="B3252" t="s">
        <v>95</v>
      </c>
      <c r="C3252" t="s">
        <v>96</v>
      </c>
      <c r="D3252" s="8">
        <v>96.51</v>
      </c>
    </row>
    <row r="3253" spans="1:4" x14ac:dyDescent="0.45">
      <c r="A3253" s="7">
        <v>45648</v>
      </c>
      <c r="B3253" t="s">
        <v>95</v>
      </c>
      <c r="C3253" t="s">
        <v>105</v>
      </c>
      <c r="D3253" s="8">
        <v>113.55</v>
      </c>
    </row>
    <row r="3254" spans="1:4" x14ac:dyDescent="0.45">
      <c r="A3254" s="7">
        <v>45752</v>
      </c>
      <c r="B3254" t="s">
        <v>93</v>
      </c>
      <c r="C3254" t="s">
        <v>94</v>
      </c>
      <c r="D3254" s="8">
        <v>286.55</v>
      </c>
    </row>
    <row r="3255" spans="1:4" x14ac:dyDescent="0.45">
      <c r="A3255" s="7">
        <v>45604</v>
      </c>
      <c r="B3255" t="s">
        <v>95</v>
      </c>
      <c r="C3255" t="s">
        <v>108</v>
      </c>
      <c r="D3255" s="8">
        <v>487.3</v>
      </c>
    </row>
    <row r="3256" spans="1:4" x14ac:dyDescent="0.45">
      <c r="A3256" s="7">
        <v>45296</v>
      </c>
      <c r="B3256" t="s">
        <v>97</v>
      </c>
      <c r="C3256" t="s">
        <v>101</v>
      </c>
      <c r="D3256" s="8">
        <v>49.23</v>
      </c>
    </row>
    <row r="3257" spans="1:4" x14ac:dyDescent="0.45">
      <c r="A3257" s="7">
        <v>45701</v>
      </c>
      <c r="B3257" t="s">
        <v>97</v>
      </c>
      <c r="C3257" t="s">
        <v>98</v>
      </c>
      <c r="D3257" s="8">
        <v>133.85</v>
      </c>
    </row>
    <row r="3258" spans="1:4" x14ac:dyDescent="0.45">
      <c r="A3258" s="7">
        <v>45741</v>
      </c>
      <c r="B3258" t="s">
        <v>95</v>
      </c>
      <c r="C3258" t="s">
        <v>109</v>
      </c>
      <c r="D3258" s="8">
        <v>112.89</v>
      </c>
    </row>
    <row r="3259" spans="1:4" x14ac:dyDescent="0.45">
      <c r="A3259" s="7">
        <v>46118</v>
      </c>
      <c r="B3259" t="s">
        <v>97</v>
      </c>
      <c r="C3259" t="s">
        <v>104</v>
      </c>
      <c r="D3259" s="8">
        <v>298.95</v>
      </c>
    </row>
    <row r="3260" spans="1:4" x14ac:dyDescent="0.45">
      <c r="A3260" s="7">
        <v>46025</v>
      </c>
      <c r="B3260" t="s">
        <v>93</v>
      </c>
      <c r="C3260" t="s">
        <v>94</v>
      </c>
      <c r="D3260" s="8">
        <v>-53.45</v>
      </c>
    </row>
    <row r="3261" spans="1:4" x14ac:dyDescent="0.45">
      <c r="A3261" s="7">
        <v>45715</v>
      </c>
      <c r="B3261" t="s">
        <v>97</v>
      </c>
      <c r="C3261" t="s">
        <v>101</v>
      </c>
      <c r="D3261" s="8">
        <v>234.92</v>
      </c>
    </row>
    <row r="3262" spans="1:4" x14ac:dyDescent="0.45">
      <c r="A3262" s="7">
        <v>46074</v>
      </c>
      <c r="B3262" t="s">
        <v>93</v>
      </c>
      <c r="C3262" t="s">
        <v>106</v>
      </c>
      <c r="D3262" s="8">
        <v>-64.290000000000006</v>
      </c>
    </row>
    <row r="3263" spans="1:4" x14ac:dyDescent="0.45">
      <c r="A3263" s="7">
        <v>45617</v>
      </c>
      <c r="B3263" t="s">
        <v>95</v>
      </c>
      <c r="C3263" t="s">
        <v>109</v>
      </c>
      <c r="D3263" s="8">
        <v>-100.5</v>
      </c>
    </row>
    <row r="3264" spans="1:4" x14ac:dyDescent="0.45">
      <c r="A3264" s="7">
        <v>45947</v>
      </c>
      <c r="B3264" t="s">
        <v>97</v>
      </c>
      <c r="C3264" t="s">
        <v>98</v>
      </c>
      <c r="D3264" s="8">
        <v>197.38</v>
      </c>
    </row>
    <row r="3265" spans="1:4" x14ac:dyDescent="0.45">
      <c r="A3265" s="7">
        <v>45903</v>
      </c>
      <c r="B3265" t="s">
        <v>97</v>
      </c>
      <c r="C3265" t="s">
        <v>98</v>
      </c>
      <c r="D3265" s="8">
        <v>47.05</v>
      </c>
    </row>
    <row r="3266" spans="1:4" x14ac:dyDescent="0.45">
      <c r="A3266" s="7">
        <v>45844</v>
      </c>
      <c r="B3266" t="s">
        <v>97</v>
      </c>
      <c r="C3266" t="s">
        <v>101</v>
      </c>
      <c r="D3266" s="8">
        <v>129.25</v>
      </c>
    </row>
    <row r="3267" spans="1:4" x14ac:dyDescent="0.45">
      <c r="A3267" s="7">
        <v>45867</v>
      </c>
      <c r="B3267" t="s">
        <v>97</v>
      </c>
      <c r="C3267" t="s">
        <v>104</v>
      </c>
      <c r="D3267" s="8">
        <v>459.25</v>
      </c>
    </row>
    <row r="3268" spans="1:4" x14ac:dyDescent="0.45">
      <c r="A3268" s="7">
        <v>45427</v>
      </c>
      <c r="B3268" t="s">
        <v>97</v>
      </c>
      <c r="C3268" t="s">
        <v>98</v>
      </c>
      <c r="D3268" s="8">
        <v>195.62</v>
      </c>
    </row>
    <row r="3269" spans="1:4" x14ac:dyDescent="0.45">
      <c r="A3269" s="7">
        <v>45889</v>
      </c>
      <c r="B3269" t="s">
        <v>93</v>
      </c>
      <c r="C3269" t="s">
        <v>94</v>
      </c>
      <c r="D3269" s="8">
        <v>66.09</v>
      </c>
    </row>
    <row r="3270" spans="1:4" x14ac:dyDescent="0.45">
      <c r="A3270" s="7">
        <v>45989</v>
      </c>
      <c r="B3270" t="s">
        <v>97</v>
      </c>
      <c r="C3270" t="s">
        <v>101</v>
      </c>
      <c r="D3270" s="8">
        <v>-119.21</v>
      </c>
    </row>
    <row r="3271" spans="1:4" x14ac:dyDescent="0.45">
      <c r="A3271" s="7">
        <v>45782</v>
      </c>
      <c r="B3271" t="s">
        <v>93</v>
      </c>
      <c r="C3271" t="s">
        <v>103</v>
      </c>
      <c r="D3271" s="8">
        <v>294.02999999999997</v>
      </c>
    </row>
    <row r="3272" spans="1:4" x14ac:dyDescent="0.45">
      <c r="A3272" s="7">
        <v>46043</v>
      </c>
      <c r="B3272" t="s">
        <v>95</v>
      </c>
      <c r="C3272" t="s">
        <v>99</v>
      </c>
      <c r="D3272" s="8">
        <v>95.88</v>
      </c>
    </row>
    <row r="3273" spans="1:4" x14ac:dyDescent="0.45">
      <c r="A3273" s="7">
        <v>45867</v>
      </c>
      <c r="B3273" t="s">
        <v>97</v>
      </c>
      <c r="C3273" t="s">
        <v>104</v>
      </c>
      <c r="D3273" s="8">
        <v>364.7</v>
      </c>
    </row>
    <row r="3274" spans="1:4" x14ac:dyDescent="0.45">
      <c r="A3274" s="7">
        <v>45589</v>
      </c>
      <c r="B3274" t="s">
        <v>95</v>
      </c>
      <c r="C3274" t="s">
        <v>108</v>
      </c>
      <c r="D3274" s="8">
        <v>-1.76</v>
      </c>
    </row>
    <row r="3275" spans="1:4" x14ac:dyDescent="0.45">
      <c r="A3275" s="7">
        <v>46121</v>
      </c>
      <c r="B3275" t="s">
        <v>97</v>
      </c>
      <c r="C3275" t="s">
        <v>104</v>
      </c>
      <c r="D3275" s="8">
        <v>-14.94</v>
      </c>
    </row>
    <row r="3276" spans="1:4" x14ac:dyDescent="0.45">
      <c r="A3276" s="7">
        <v>45521</v>
      </c>
      <c r="B3276" t="s">
        <v>95</v>
      </c>
      <c r="C3276" t="s">
        <v>109</v>
      </c>
      <c r="D3276" s="8">
        <v>328.46</v>
      </c>
    </row>
    <row r="3277" spans="1:4" x14ac:dyDescent="0.45">
      <c r="A3277" s="7">
        <v>45352</v>
      </c>
      <c r="B3277" t="s">
        <v>93</v>
      </c>
      <c r="C3277" t="s">
        <v>100</v>
      </c>
      <c r="D3277" s="8">
        <v>428.28</v>
      </c>
    </row>
    <row r="3278" spans="1:4" x14ac:dyDescent="0.45">
      <c r="A3278" s="7">
        <v>45811</v>
      </c>
      <c r="B3278" t="s">
        <v>93</v>
      </c>
      <c r="C3278" t="s">
        <v>103</v>
      </c>
      <c r="D3278" s="8">
        <v>-43.14</v>
      </c>
    </row>
    <row r="3279" spans="1:4" x14ac:dyDescent="0.45">
      <c r="A3279" s="7">
        <v>45394</v>
      </c>
      <c r="B3279" t="s">
        <v>97</v>
      </c>
      <c r="C3279" t="s">
        <v>107</v>
      </c>
      <c r="D3279" s="8">
        <v>-114.15</v>
      </c>
    </row>
    <row r="3280" spans="1:4" x14ac:dyDescent="0.45">
      <c r="A3280" s="7">
        <v>46056</v>
      </c>
      <c r="B3280" t="s">
        <v>97</v>
      </c>
      <c r="C3280" t="s">
        <v>101</v>
      </c>
      <c r="D3280" s="8">
        <v>192.8</v>
      </c>
    </row>
    <row r="3281" spans="1:4" x14ac:dyDescent="0.45">
      <c r="A3281" s="7">
        <v>45310</v>
      </c>
      <c r="B3281" t="s">
        <v>97</v>
      </c>
      <c r="C3281" t="s">
        <v>98</v>
      </c>
      <c r="D3281" s="8">
        <v>14.73</v>
      </c>
    </row>
    <row r="3282" spans="1:4" x14ac:dyDescent="0.45">
      <c r="A3282" s="7">
        <v>45560</v>
      </c>
      <c r="B3282" t="s">
        <v>93</v>
      </c>
      <c r="C3282" t="s">
        <v>103</v>
      </c>
      <c r="D3282" s="8">
        <v>302.3</v>
      </c>
    </row>
    <row r="3283" spans="1:4" x14ac:dyDescent="0.45">
      <c r="A3283" s="7">
        <v>45376</v>
      </c>
      <c r="B3283" t="s">
        <v>93</v>
      </c>
      <c r="C3283" t="s">
        <v>94</v>
      </c>
      <c r="D3283" s="8">
        <v>223.71</v>
      </c>
    </row>
    <row r="3284" spans="1:4" x14ac:dyDescent="0.45">
      <c r="A3284" s="7">
        <v>45637</v>
      </c>
      <c r="B3284" t="s">
        <v>95</v>
      </c>
      <c r="C3284" t="s">
        <v>99</v>
      </c>
      <c r="D3284" s="8">
        <v>30.54</v>
      </c>
    </row>
    <row r="3285" spans="1:4" x14ac:dyDescent="0.45">
      <c r="A3285" s="7">
        <v>45796</v>
      </c>
      <c r="B3285" t="s">
        <v>97</v>
      </c>
      <c r="C3285" t="s">
        <v>107</v>
      </c>
      <c r="D3285" s="8">
        <v>-133.13</v>
      </c>
    </row>
    <row r="3286" spans="1:4" x14ac:dyDescent="0.45">
      <c r="A3286" s="7">
        <v>45821</v>
      </c>
      <c r="B3286" t="s">
        <v>95</v>
      </c>
      <c r="C3286" t="s">
        <v>99</v>
      </c>
      <c r="D3286" s="8">
        <v>268.55</v>
      </c>
    </row>
    <row r="3287" spans="1:4" x14ac:dyDescent="0.45">
      <c r="A3287" s="7">
        <v>45732</v>
      </c>
      <c r="B3287" t="s">
        <v>97</v>
      </c>
      <c r="C3287" t="s">
        <v>101</v>
      </c>
      <c r="D3287" s="8">
        <v>-146.37</v>
      </c>
    </row>
    <row r="3288" spans="1:4" x14ac:dyDescent="0.45">
      <c r="A3288" s="7">
        <v>45824</v>
      </c>
      <c r="B3288" t="s">
        <v>95</v>
      </c>
      <c r="C3288" t="s">
        <v>102</v>
      </c>
      <c r="D3288" s="8">
        <v>-134.88</v>
      </c>
    </row>
    <row r="3289" spans="1:4" x14ac:dyDescent="0.45">
      <c r="A3289" s="7">
        <v>45412</v>
      </c>
      <c r="B3289" t="s">
        <v>93</v>
      </c>
      <c r="C3289" t="s">
        <v>100</v>
      </c>
      <c r="D3289" s="8">
        <v>305.19</v>
      </c>
    </row>
    <row r="3290" spans="1:4" x14ac:dyDescent="0.45">
      <c r="A3290" s="7">
        <v>46182</v>
      </c>
      <c r="B3290" t="s">
        <v>95</v>
      </c>
      <c r="C3290" t="s">
        <v>105</v>
      </c>
      <c r="D3290" s="8">
        <v>384.98</v>
      </c>
    </row>
    <row r="3291" spans="1:4" x14ac:dyDescent="0.45">
      <c r="A3291" s="7">
        <v>45919</v>
      </c>
      <c r="B3291" t="s">
        <v>93</v>
      </c>
      <c r="C3291" t="s">
        <v>100</v>
      </c>
      <c r="D3291" s="8">
        <v>281.7</v>
      </c>
    </row>
    <row r="3292" spans="1:4" x14ac:dyDescent="0.45">
      <c r="A3292" s="7">
        <v>45569</v>
      </c>
      <c r="B3292" t="s">
        <v>93</v>
      </c>
      <c r="C3292" t="s">
        <v>106</v>
      </c>
      <c r="D3292" s="8">
        <v>193.63</v>
      </c>
    </row>
    <row r="3293" spans="1:4" x14ac:dyDescent="0.45">
      <c r="A3293" s="7">
        <v>45722</v>
      </c>
      <c r="B3293" t="s">
        <v>97</v>
      </c>
      <c r="C3293" t="s">
        <v>104</v>
      </c>
      <c r="D3293" s="8">
        <v>355.72</v>
      </c>
    </row>
    <row r="3294" spans="1:4" x14ac:dyDescent="0.45">
      <c r="A3294" s="7">
        <v>45910</v>
      </c>
      <c r="B3294" t="s">
        <v>95</v>
      </c>
      <c r="C3294" t="s">
        <v>109</v>
      </c>
      <c r="D3294" s="8">
        <v>316.8</v>
      </c>
    </row>
    <row r="3295" spans="1:4" x14ac:dyDescent="0.45">
      <c r="A3295" s="7">
        <v>46017</v>
      </c>
      <c r="B3295" t="s">
        <v>93</v>
      </c>
      <c r="C3295" t="s">
        <v>100</v>
      </c>
      <c r="D3295" s="8">
        <v>463.59</v>
      </c>
    </row>
    <row r="3296" spans="1:4" x14ac:dyDescent="0.45">
      <c r="A3296" s="7">
        <v>46054</v>
      </c>
      <c r="B3296" t="s">
        <v>97</v>
      </c>
      <c r="C3296" t="s">
        <v>98</v>
      </c>
      <c r="D3296" s="8">
        <v>-147.11000000000001</v>
      </c>
    </row>
    <row r="3297" spans="1:4" x14ac:dyDescent="0.45">
      <c r="A3297" s="7">
        <v>45649</v>
      </c>
      <c r="B3297" t="s">
        <v>93</v>
      </c>
      <c r="C3297" t="s">
        <v>106</v>
      </c>
      <c r="D3297" s="8">
        <v>349.84</v>
      </c>
    </row>
    <row r="3298" spans="1:4" x14ac:dyDescent="0.45">
      <c r="A3298" s="7">
        <v>45780</v>
      </c>
      <c r="B3298" t="s">
        <v>93</v>
      </c>
      <c r="C3298" t="s">
        <v>100</v>
      </c>
      <c r="D3298" s="8">
        <v>317.33</v>
      </c>
    </row>
    <row r="3299" spans="1:4" x14ac:dyDescent="0.45">
      <c r="A3299" s="7">
        <v>45402</v>
      </c>
      <c r="B3299" t="s">
        <v>97</v>
      </c>
      <c r="C3299" t="s">
        <v>107</v>
      </c>
      <c r="D3299" s="8">
        <v>-86.02</v>
      </c>
    </row>
    <row r="3300" spans="1:4" x14ac:dyDescent="0.45">
      <c r="A3300" s="7">
        <v>45373</v>
      </c>
      <c r="B3300" t="s">
        <v>95</v>
      </c>
      <c r="C3300" t="s">
        <v>99</v>
      </c>
      <c r="D3300" s="8">
        <v>-12.35</v>
      </c>
    </row>
    <row r="3301" spans="1:4" x14ac:dyDescent="0.45">
      <c r="A3301" s="7">
        <v>45683</v>
      </c>
      <c r="B3301" t="s">
        <v>93</v>
      </c>
      <c r="C3301" t="s">
        <v>94</v>
      </c>
      <c r="D3301" s="8">
        <v>257.52</v>
      </c>
    </row>
    <row r="3302" spans="1:4" x14ac:dyDescent="0.45">
      <c r="A3302" s="7">
        <v>45737</v>
      </c>
      <c r="B3302" t="s">
        <v>95</v>
      </c>
      <c r="C3302" t="s">
        <v>99</v>
      </c>
      <c r="D3302" s="8">
        <v>434.37</v>
      </c>
    </row>
    <row r="3303" spans="1:4" x14ac:dyDescent="0.45">
      <c r="A3303" s="7">
        <v>45693</v>
      </c>
      <c r="B3303" t="s">
        <v>97</v>
      </c>
      <c r="C3303" t="s">
        <v>101</v>
      </c>
      <c r="D3303" s="8">
        <v>-106.68</v>
      </c>
    </row>
    <row r="3304" spans="1:4" x14ac:dyDescent="0.45">
      <c r="A3304" s="7">
        <v>45760</v>
      </c>
      <c r="B3304" t="s">
        <v>95</v>
      </c>
      <c r="C3304" t="s">
        <v>99</v>
      </c>
      <c r="D3304" s="8">
        <v>124.38</v>
      </c>
    </row>
    <row r="3305" spans="1:4" x14ac:dyDescent="0.45">
      <c r="A3305" s="7">
        <v>45526</v>
      </c>
      <c r="B3305" t="s">
        <v>95</v>
      </c>
      <c r="C3305" t="s">
        <v>105</v>
      </c>
      <c r="D3305" s="8">
        <v>121</v>
      </c>
    </row>
    <row r="3306" spans="1:4" x14ac:dyDescent="0.45">
      <c r="A3306" s="7">
        <v>45996</v>
      </c>
      <c r="B3306" t="s">
        <v>95</v>
      </c>
      <c r="C3306" t="s">
        <v>105</v>
      </c>
      <c r="D3306" s="8">
        <v>466.32</v>
      </c>
    </row>
    <row r="3307" spans="1:4" x14ac:dyDescent="0.45">
      <c r="A3307" s="7">
        <v>45552</v>
      </c>
      <c r="B3307" t="s">
        <v>95</v>
      </c>
      <c r="C3307" t="s">
        <v>108</v>
      </c>
      <c r="D3307" s="8">
        <v>27.01</v>
      </c>
    </row>
    <row r="3308" spans="1:4" x14ac:dyDescent="0.45">
      <c r="A3308" s="7">
        <v>45494</v>
      </c>
      <c r="B3308" t="s">
        <v>93</v>
      </c>
      <c r="C3308" t="s">
        <v>106</v>
      </c>
      <c r="D3308" s="8">
        <v>17.809999999999999</v>
      </c>
    </row>
    <row r="3309" spans="1:4" x14ac:dyDescent="0.45">
      <c r="A3309" s="7">
        <v>45460</v>
      </c>
      <c r="B3309" t="s">
        <v>97</v>
      </c>
      <c r="C3309" t="s">
        <v>104</v>
      </c>
      <c r="D3309" s="8">
        <v>-39.35</v>
      </c>
    </row>
    <row r="3310" spans="1:4" x14ac:dyDescent="0.45">
      <c r="A3310" s="7">
        <v>45703</v>
      </c>
      <c r="B3310" t="s">
        <v>97</v>
      </c>
      <c r="C3310" t="s">
        <v>98</v>
      </c>
      <c r="D3310" s="8">
        <v>430.39</v>
      </c>
    </row>
    <row r="3311" spans="1:4" x14ac:dyDescent="0.45">
      <c r="A3311" s="7">
        <v>46121</v>
      </c>
      <c r="B3311" t="s">
        <v>97</v>
      </c>
      <c r="C3311" t="s">
        <v>101</v>
      </c>
      <c r="D3311" s="8">
        <v>76.62</v>
      </c>
    </row>
    <row r="3312" spans="1:4" x14ac:dyDescent="0.45">
      <c r="A3312" s="7">
        <v>46051</v>
      </c>
      <c r="B3312" t="s">
        <v>93</v>
      </c>
      <c r="C3312" t="s">
        <v>103</v>
      </c>
      <c r="D3312" s="8">
        <v>354.13</v>
      </c>
    </row>
    <row r="3313" spans="1:4" x14ac:dyDescent="0.45">
      <c r="A3313" s="7">
        <v>45522</v>
      </c>
      <c r="B3313" t="s">
        <v>97</v>
      </c>
      <c r="C3313" t="s">
        <v>104</v>
      </c>
      <c r="D3313" s="8">
        <v>468.75</v>
      </c>
    </row>
    <row r="3314" spans="1:4" x14ac:dyDescent="0.45">
      <c r="A3314" s="7">
        <v>45618</v>
      </c>
      <c r="B3314" t="s">
        <v>97</v>
      </c>
      <c r="C3314" t="s">
        <v>107</v>
      </c>
      <c r="D3314" s="8">
        <v>110.53</v>
      </c>
    </row>
    <row r="3315" spans="1:4" x14ac:dyDescent="0.45">
      <c r="A3315" s="7">
        <v>46132</v>
      </c>
      <c r="B3315" t="s">
        <v>95</v>
      </c>
      <c r="C3315" t="s">
        <v>102</v>
      </c>
      <c r="D3315" s="8">
        <v>250.63</v>
      </c>
    </row>
    <row r="3316" spans="1:4" x14ac:dyDescent="0.45">
      <c r="A3316" s="7">
        <v>45393</v>
      </c>
      <c r="B3316" t="s">
        <v>93</v>
      </c>
      <c r="C3316" t="s">
        <v>106</v>
      </c>
      <c r="D3316" s="8">
        <v>416.6</v>
      </c>
    </row>
    <row r="3317" spans="1:4" x14ac:dyDescent="0.45">
      <c r="A3317" s="7">
        <v>45649</v>
      </c>
      <c r="B3317" t="s">
        <v>95</v>
      </c>
      <c r="C3317" t="s">
        <v>109</v>
      </c>
      <c r="D3317" s="8">
        <v>112.21</v>
      </c>
    </row>
    <row r="3318" spans="1:4" x14ac:dyDescent="0.45">
      <c r="A3318" s="7">
        <v>45403</v>
      </c>
      <c r="B3318" t="s">
        <v>93</v>
      </c>
      <c r="C3318" t="s">
        <v>106</v>
      </c>
      <c r="D3318" s="8">
        <v>64.25</v>
      </c>
    </row>
    <row r="3319" spans="1:4" x14ac:dyDescent="0.45">
      <c r="A3319" s="7">
        <v>45842</v>
      </c>
      <c r="B3319" t="s">
        <v>95</v>
      </c>
      <c r="C3319" t="s">
        <v>96</v>
      </c>
      <c r="D3319" s="8">
        <v>268.13</v>
      </c>
    </row>
    <row r="3320" spans="1:4" x14ac:dyDescent="0.45">
      <c r="A3320" s="7">
        <v>45967</v>
      </c>
      <c r="B3320" t="s">
        <v>95</v>
      </c>
      <c r="C3320" t="s">
        <v>102</v>
      </c>
      <c r="D3320" s="8">
        <v>117.13</v>
      </c>
    </row>
    <row r="3321" spans="1:4" x14ac:dyDescent="0.45">
      <c r="A3321" s="7">
        <v>45594</v>
      </c>
      <c r="B3321" t="s">
        <v>93</v>
      </c>
      <c r="C3321" t="s">
        <v>106</v>
      </c>
      <c r="D3321" s="8">
        <v>-70.650000000000006</v>
      </c>
    </row>
    <row r="3322" spans="1:4" x14ac:dyDescent="0.45">
      <c r="A3322" s="7">
        <v>45488</v>
      </c>
      <c r="B3322" t="s">
        <v>95</v>
      </c>
      <c r="C3322" t="s">
        <v>99</v>
      </c>
      <c r="D3322" s="8">
        <v>175.5</v>
      </c>
    </row>
    <row r="3323" spans="1:4" x14ac:dyDescent="0.45">
      <c r="A3323" s="7">
        <v>46137</v>
      </c>
      <c r="B3323" t="s">
        <v>93</v>
      </c>
      <c r="C3323" t="s">
        <v>100</v>
      </c>
      <c r="D3323" s="8">
        <v>12.25</v>
      </c>
    </row>
    <row r="3324" spans="1:4" x14ac:dyDescent="0.45">
      <c r="A3324" s="7">
        <v>46148</v>
      </c>
      <c r="B3324" t="s">
        <v>97</v>
      </c>
      <c r="C3324" t="s">
        <v>107</v>
      </c>
      <c r="D3324" s="8">
        <v>152.94</v>
      </c>
    </row>
    <row r="3325" spans="1:4" x14ac:dyDescent="0.45">
      <c r="A3325" s="7">
        <v>45618</v>
      </c>
      <c r="B3325" t="s">
        <v>97</v>
      </c>
      <c r="C3325" t="s">
        <v>104</v>
      </c>
      <c r="D3325" s="8">
        <v>114.92</v>
      </c>
    </row>
    <row r="3326" spans="1:4" x14ac:dyDescent="0.45">
      <c r="A3326" s="7">
        <v>45332</v>
      </c>
      <c r="B3326" t="s">
        <v>97</v>
      </c>
      <c r="C3326" t="s">
        <v>101</v>
      </c>
      <c r="D3326" s="8">
        <v>468.13</v>
      </c>
    </row>
    <row r="3327" spans="1:4" x14ac:dyDescent="0.45">
      <c r="A3327" s="7">
        <v>46028</v>
      </c>
      <c r="B3327" t="s">
        <v>95</v>
      </c>
      <c r="C3327" t="s">
        <v>102</v>
      </c>
      <c r="D3327" s="8">
        <v>152.72</v>
      </c>
    </row>
    <row r="3328" spans="1:4" x14ac:dyDescent="0.45">
      <c r="A3328" s="7">
        <v>45507</v>
      </c>
      <c r="B3328" t="s">
        <v>93</v>
      </c>
      <c r="C3328" t="s">
        <v>94</v>
      </c>
      <c r="D3328" s="8">
        <v>432.41</v>
      </c>
    </row>
    <row r="3329" spans="1:4" x14ac:dyDescent="0.45">
      <c r="A3329" s="7">
        <v>45631</v>
      </c>
      <c r="B3329" t="s">
        <v>95</v>
      </c>
      <c r="C3329" t="s">
        <v>109</v>
      </c>
      <c r="D3329" s="8">
        <v>490.91</v>
      </c>
    </row>
    <row r="3330" spans="1:4" x14ac:dyDescent="0.45">
      <c r="A3330" s="7">
        <v>45474</v>
      </c>
      <c r="B3330" t="s">
        <v>93</v>
      </c>
      <c r="C3330" t="s">
        <v>106</v>
      </c>
      <c r="D3330" s="8">
        <v>368.39</v>
      </c>
    </row>
    <row r="3331" spans="1:4" x14ac:dyDescent="0.45">
      <c r="A3331" s="7">
        <v>46134</v>
      </c>
      <c r="B3331" t="s">
        <v>97</v>
      </c>
      <c r="C3331" t="s">
        <v>104</v>
      </c>
      <c r="D3331" s="8">
        <v>38.270000000000003</v>
      </c>
    </row>
    <row r="3332" spans="1:4" x14ac:dyDescent="0.45">
      <c r="A3332" s="7">
        <v>46044</v>
      </c>
      <c r="B3332" t="s">
        <v>95</v>
      </c>
      <c r="C3332" t="s">
        <v>109</v>
      </c>
      <c r="D3332" s="8">
        <v>-131.65</v>
      </c>
    </row>
    <row r="3333" spans="1:4" x14ac:dyDescent="0.45">
      <c r="A3333" s="7">
        <v>46165</v>
      </c>
      <c r="B3333" t="s">
        <v>93</v>
      </c>
      <c r="C3333" t="s">
        <v>94</v>
      </c>
      <c r="D3333" s="8">
        <v>443.91</v>
      </c>
    </row>
    <row r="3334" spans="1:4" x14ac:dyDescent="0.45">
      <c r="A3334" s="7">
        <v>45881</v>
      </c>
      <c r="B3334" t="s">
        <v>95</v>
      </c>
      <c r="C3334" t="s">
        <v>102</v>
      </c>
      <c r="D3334" s="8">
        <v>317.67</v>
      </c>
    </row>
    <row r="3335" spans="1:4" x14ac:dyDescent="0.45">
      <c r="A3335" s="7">
        <v>45772</v>
      </c>
      <c r="B3335" t="s">
        <v>93</v>
      </c>
      <c r="C3335" t="s">
        <v>94</v>
      </c>
      <c r="D3335" s="8">
        <v>129.44999999999999</v>
      </c>
    </row>
    <row r="3336" spans="1:4" x14ac:dyDescent="0.45">
      <c r="A3336" s="7">
        <v>45738</v>
      </c>
      <c r="B3336" t="s">
        <v>97</v>
      </c>
      <c r="C3336" t="s">
        <v>104</v>
      </c>
      <c r="D3336" s="8">
        <v>228.2</v>
      </c>
    </row>
    <row r="3337" spans="1:4" x14ac:dyDescent="0.45">
      <c r="A3337" s="7">
        <v>45623</v>
      </c>
      <c r="B3337" t="s">
        <v>93</v>
      </c>
      <c r="C3337" t="s">
        <v>100</v>
      </c>
      <c r="D3337" s="8">
        <v>361.33</v>
      </c>
    </row>
    <row r="3338" spans="1:4" x14ac:dyDescent="0.45">
      <c r="A3338" s="7">
        <v>45763</v>
      </c>
      <c r="B3338" t="s">
        <v>93</v>
      </c>
      <c r="C3338" t="s">
        <v>106</v>
      </c>
      <c r="D3338" s="8">
        <v>134.02000000000001</v>
      </c>
    </row>
    <row r="3339" spans="1:4" x14ac:dyDescent="0.45">
      <c r="A3339" s="7">
        <v>45938</v>
      </c>
      <c r="B3339" t="s">
        <v>93</v>
      </c>
      <c r="C3339" t="s">
        <v>103</v>
      </c>
      <c r="D3339" s="8">
        <v>36.56</v>
      </c>
    </row>
    <row r="3340" spans="1:4" x14ac:dyDescent="0.45">
      <c r="A3340" s="7">
        <v>45678</v>
      </c>
      <c r="B3340" t="s">
        <v>95</v>
      </c>
      <c r="C3340" t="s">
        <v>109</v>
      </c>
      <c r="D3340" s="8">
        <v>7.58</v>
      </c>
    </row>
    <row r="3341" spans="1:4" x14ac:dyDescent="0.45">
      <c r="A3341" s="7">
        <v>45326</v>
      </c>
      <c r="B3341" t="s">
        <v>97</v>
      </c>
      <c r="C3341" t="s">
        <v>101</v>
      </c>
      <c r="D3341" s="8">
        <v>402.27</v>
      </c>
    </row>
    <row r="3342" spans="1:4" x14ac:dyDescent="0.45">
      <c r="A3342" s="7">
        <v>45717</v>
      </c>
      <c r="B3342" t="s">
        <v>95</v>
      </c>
      <c r="C3342" t="s">
        <v>96</v>
      </c>
      <c r="D3342" s="8">
        <v>65.56</v>
      </c>
    </row>
    <row r="3343" spans="1:4" x14ac:dyDescent="0.45">
      <c r="A3343" s="7">
        <v>46075</v>
      </c>
      <c r="B3343" t="s">
        <v>95</v>
      </c>
      <c r="C3343" t="s">
        <v>105</v>
      </c>
      <c r="D3343" s="8">
        <v>357.76</v>
      </c>
    </row>
    <row r="3344" spans="1:4" x14ac:dyDescent="0.45">
      <c r="A3344" s="7">
        <v>45833</v>
      </c>
      <c r="B3344" t="s">
        <v>97</v>
      </c>
      <c r="C3344" t="s">
        <v>104</v>
      </c>
      <c r="D3344" s="8">
        <v>31.57</v>
      </c>
    </row>
    <row r="3345" spans="1:4" x14ac:dyDescent="0.45">
      <c r="A3345" s="7">
        <v>46160</v>
      </c>
      <c r="B3345" t="s">
        <v>95</v>
      </c>
      <c r="C3345" t="s">
        <v>102</v>
      </c>
      <c r="D3345" s="8">
        <v>422.49</v>
      </c>
    </row>
    <row r="3346" spans="1:4" x14ac:dyDescent="0.45">
      <c r="A3346" s="7">
        <v>45377</v>
      </c>
      <c r="B3346" t="s">
        <v>97</v>
      </c>
      <c r="C3346" t="s">
        <v>101</v>
      </c>
      <c r="D3346" s="8">
        <v>412.26</v>
      </c>
    </row>
    <row r="3347" spans="1:4" x14ac:dyDescent="0.45">
      <c r="A3347" s="7">
        <v>45774</v>
      </c>
      <c r="B3347" t="s">
        <v>95</v>
      </c>
      <c r="C3347" t="s">
        <v>108</v>
      </c>
      <c r="D3347" s="8">
        <v>21.82</v>
      </c>
    </row>
    <row r="3348" spans="1:4" x14ac:dyDescent="0.45">
      <c r="A3348" s="7">
        <v>45649</v>
      </c>
      <c r="B3348" t="s">
        <v>93</v>
      </c>
      <c r="C3348" t="s">
        <v>100</v>
      </c>
      <c r="D3348" s="8">
        <v>190.68</v>
      </c>
    </row>
    <row r="3349" spans="1:4" x14ac:dyDescent="0.45">
      <c r="A3349" s="7">
        <v>45988</v>
      </c>
      <c r="B3349" t="s">
        <v>95</v>
      </c>
      <c r="C3349" t="s">
        <v>96</v>
      </c>
      <c r="D3349" s="8">
        <v>43.78</v>
      </c>
    </row>
    <row r="3350" spans="1:4" x14ac:dyDescent="0.45">
      <c r="A3350" s="7">
        <v>45928</v>
      </c>
      <c r="B3350" t="s">
        <v>97</v>
      </c>
      <c r="C3350" t="s">
        <v>98</v>
      </c>
      <c r="D3350" s="8">
        <v>463.51</v>
      </c>
    </row>
    <row r="3351" spans="1:4" x14ac:dyDescent="0.45">
      <c r="A3351" s="7">
        <v>45613</v>
      </c>
      <c r="B3351" t="s">
        <v>97</v>
      </c>
      <c r="C3351" t="s">
        <v>98</v>
      </c>
      <c r="D3351" s="8">
        <v>498.04</v>
      </c>
    </row>
    <row r="3352" spans="1:4" x14ac:dyDescent="0.45">
      <c r="A3352" s="7">
        <v>45459</v>
      </c>
      <c r="B3352" t="s">
        <v>93</v>
      </c>
      <c r="C3352" t="s">
        <v>94</v>
      </c>
      <c r="D3352" s="8">
        <v>-10.36</v>
      </c>
    </row>
    <row r="3353" spans="1:4" x14ac:dyDescent="0.45">
      <c r="A3353" s="7">
        <v>45954</v>
      </c>
      <c r="B3353" t="s">
        <v>93</v>
      </c>
      <c r="C3353" t="s">
        <v>100</v>
      </c>
      <c r="D3353" s="8">
        <v>-136.53</v>
      </c>
    </row>
    <row r="3354" spans="1:4" x14ac:dyDescent="0.45">
      <c r="A3354" s="7">
        <v>46188</v>
      </c>
      <c r="B3354" t="s">
        <v>93</v>
      </c>
      <c r="C3354" t="s">
        <v>100</v>
      </c>
      <c r="D3354" s="8">
        <v>90.92</v>
      </c>
    </row>
    <row r="3355" spans="1:4" x14ac:dyDescent="0.45">
      <c r="A3355" s="7">
        <v>45756</v>
      </c>
      <c r="B3355" t="s">
        <v>93</v>
      </c>
      <c r="C3355" t="s">
        <v>103</v>
      </c>
      <c r="D3355" s="8">
        <v>14.58</v>
      </c>
    </row>
    <row r="3356" spans="1:4" x14ac:dyDescent="0.45">
      <c r="A3356" s="7">
        <v>45380</v>
      </c>
      <c r="B3356" t="s">
        <v>95</v>
      </c>
      <c r="C3356" t="s">
        <v>96</v>
      </c>
      <c r="D3356" s="8">
        <v>-57.79</v>
      </c>
    </row>
    <row r="3357" spans="1:4" x14ac:dyDescent="0.45">
      <c r="A3357" s="7">
        <v>46126</v>
      </c>
      <c r="B3357" t="s">
        <v>93</v>
      </c>
      <c r="C3357" t="s">
        <v>100</v>
      </c>
      <c r="D3357" s="8">
        <v>417.47</v>
      </c>
    </row>
    <row r="3358" spans="1:4" x14ac:dyDescent="0.45">
      <c r="A3358" s="7">
        <v>45936</v>
      </c>
      <c r="B3358" t="s">
        <v>93</v>
      </c>
      <c r="C3358" t="s">
        <v>103</v>
      </c>
      <c r="D3358" s="8">
        <v>-75.91</v>
      </c>
    </row>
    <row r="3359" spans="1:4" x14ac:dyDescent="0.45">
      <c r="A3359" s="7">
        <v>45697</v>
      </c>
      <c r="B3359" t="s">
        <v>97</v>
      </c>
      <c r="C3359" t="s">
        <v>98</v>
      </c>
      <c r="D3359" s="8">
        <v>370.82</v>
      </c>
    </row>
    <row r="3360" spans="1:4" x14ac:dyDescent="0.45">
      <c r="A3360" s="7">
        <v>46051</v>
      </c>
      <c r="B3360" t="s">
        <v>95</v>
      </c>
      <c r="C3360" t="s">
        <v>96</v>
      </c>
      <c r="D3360" s="8">
        <v>-137.26</v>
      </c>
    </row>
    <row r="3361" spans="1:4" x14ac:dyDescent="0.45">
      <c r="A3361" s="7">
        <v>45554</v>
      </c>
      <c r="B3361" t="s">
        <v>93</v>
      </c>
      <c r="C3361" t="s">
        <v>100</v>
      </c>
      <c r="D3361" s="8">
        <v>37.880000000000003</v>
      </c>
    </row>
    <row r="3362" spans="1:4" x14ac:dyDescent="0.45">
      <c r="A3362" s="7">
        <v>46024</v>
      </c>
      <c r="B3362" t="s">
        <v>95</v>
      </c>
      <c r="C3362" t="s">
        <v>108</v>
      </c>
      <c r="D3362" s="8">
        <v>402.58</v>
      </c>
    </row>
    <row r="3363" spans="1:4" x14ac:dyDescent="0.45">
      <c r="A3363" s="7">
        <v>46053</v>
      </c>
      <c r="B3363" t="s">
        <v>97</v>
      </c>
      <c r="C3363" t="s">
        <v>104</v>
      </c>
      <c r="D3363" s="8">
        <v>493.04</v>
      </c>
    </row>
    <row r="3364" spans="1:4" x14ac:dyDescent="0.45">
      <c r="A3364" s="7">
        <v>45873</v>
      </c>
      <c r="B3364" t="s">
        <v>95</v>
      </c>
      <c r="C3364" t="s">
        <v>105</v>
      </c>
      <c r="D3364" s="8">
        <v>453.51</v>
      </c>
    </row>
    <row r="3365" spans="1:4" x14ac:dyDescent="0.45">
      <c r="A3365" s="7">
        <v>46139</v>
      </c>
      <c r="B3365" t="s">
        <v>93</v>
      </c>
      <c r="C3365" t="s">
        <v>94</v>
      </c>
      <c r="D3365" s="8">
        <v>57.91</v>
      </c>
    </row>
    <row r="3366" spans="1:4" x14ac:dyDescent="0.45">
      <c r="A3366" s="7">
        <v>46017</v>
      </c>
      <c r="B3366" t="s">
        <v>93</v>
      </c>
      <c r="C3366" t="s">
        <v>106</v>
      </c>
      <c r="D3366" s="8">
        <v>498.41</v>
      </c>
    </row>
    <row r="3367" spans="1:4" x14ac:dyDescent="0.45">
      <c r="A3367" s="7">
        <v>46167</v>
      </c>
      <c r="B3367" t="s">
        <v>93</v>
      </c>
      <c r="C3367" t="s">
        <v>106</v>
      </c>
      <c r="D3367" s="8">
        <v>-3.18</v>
      </c>
    </row>
    <row r="3368" spans="1:4" x14ac:dyDescent="0.45">
      <c r="A3368" s="7">
        <v>45355</v>
      </c>
      <c r="B3368" t="s">
        <v>93</v>
      </c>
      <c r="C3368" t="s">
        <v>100</v>
      </c>
      <c r="D3368" s="8">
        <v>340.35</v>
      </c>
    </row>
    <row r="3369" spans="1:4" x14ac:dyDescent="0.45">
      <c r="A3369" s="7">
        <v>46113</v>
      </c>
      <c r="B3369" t="s">
        <v>93</v>
      </c>
      <c r="C3369" t="s">
        <v>100</v>
      </c>
      <c r="D3369" s="8">
        <v>24.18</v>
      </c>
    </row>
    <row r="3370" spans="1:4" x14ac:dyDescent="0.45">
      <c r="A3370" s="7">
        <v>45610</v>
      </c>
      <c r="B3370" t="s">
        <v>97</v>
      </c>
      <c r="C3370" t="s">
        <v>107</v>
      </c>
      <c r="D3370" s="8">
        <v>-36.86</v>
      </c>
    </row>
    <row r="3371" spans="1:4" x14ac:dyDescent="0.45">
      <c r="A3371" s="7">
        <v>45986</v>
      </c>
      <c r="B3371" t="s">
        <v>97</v>
      </c>
      <c r="C3371" t="s">
        <v>98</v>
      </c>
      <c r="D3371" s="8">
        <v>270.54000000000002</v>
      </c>
    </row>
    <row r="3372" spans="1:4" x14ac:dyDescent="0.45">
      <c r="A3372" s="7">
        <v>46035</v>
      </c>
      <c r="B3372" t="s">
        <v>97</v>
      </c>
      <c r="C3372" t="s">
        <v>107</v>
      </c>
      <c r="D3372" s="8">
        <v>21.83</v>
      </c>
    </row>
    <row r="3373" spans="1:4" x14ac:dyDescent="0.45">
      <c r="A3373" s="7">
        <v>45594</v>
      </c>
      <c r="B3373" t="s">
        <v>97</v>
      </c>
      <c r="C3373" t="s">
        <v>101</v>
      </c>
      <c r="D3373" s="8">
        <v>138.69999999999999</v>
      </c>
    </row>
    <row r="3374" spans="1:4" x14ac:dyDescent="0.45">
      <c r="A3374" s="7">
        <v>45988</v>
      </c>
      <c r="B3374" t="s">
        <v>93</v>
      </c>
      <c r="C3374" t="s">
        <v>100</v>
      </c>
      <c r="D3374" s="8">
        <v>82.81</v>
      </c>
    </row>
    <row r="3375" spans="1:4" x14ac:dyDescent="0.45">
      <c r="A3375" s="7">
        <v>46018</v>
      </c>
      <c r="B3375" t="s">
        <v>93</v>
      </c>
      <c r="C3375" t="s">
        <v>94</v>
      </c>
      <c r="D3375" s="8">
        <v>220.72</v>
      </c>
    </row>
    <row r="3376" spans="1:4" x14ac:dyDescent="0.45">
      <c r="A3376" s="7">
        <v>45954</v>
      </c>
      <c r="B3376" t="s">
        <v>97</v>
      </c>
      <c r="C3376" t="s">
        <v>107</v>
      </c>
      <c r="D3376" s="8">
        <v>230.38</v>
      </c>
    </row>
    <row r="3377" spans="1:4" x14ac:dyDescent="0.45">
      <c r="A3377" s="7">
        <v>45793</v>
      </c>
      <c r="B3377" t="s">
        <v>95</v>
      </c>
      <c r="C3377" t="s">
        <v>102</v>
      </c>
      <c r="D3377" s="8">
        <v>47.71</v>
      </c>
    </row>
    <row r="3378" spans="1:4" x14ac:dyDescent="0.45">
      <c r="A3378" s="7">
        <v>45359</v>
      </c>
      <c r="B3378" t="s">
        <v>93</v>
      </c>
      <c r="C3378" t="s">
        <v>106</v>
      </c>
      <c r="D3378" s="8">
        <v>107.25</v>
      </c>
    </row>
    <row r="3379" spans="1:4" x14ac:dyDescent="0.45">
      <c r="A3379" s="7">
        <v>45473</v>
      </c>
      <c r="B3379" t="s">
        <v>97</v>
      </c>
      <c r="C3379" t="s">
        <v>104</v>
      </c>
      <c r="D3379" s="8">
        <v>-45.4</v>
      </c>
    </row>
    <row r="3380" spans="1:4" x14ac:dyDescent="0.45">
      <c r="A3380" s="7">
        <v>46101</v>
      </c>
      <c r="B3380" t="s">
        <v>93</v>
      </c>
      <c r="C3380" t="s">
        <v>94</v>
      </c>
      <c r="D3380" s="8">
        <v>-32.79</v>
      </c>
    </row>
    <row r="3381" spans="1:4" x14ac:dyDescent="0.45">
      <c r="A3381" s="7">
        <v>45652</v>
      </c>
      <c r="B3381" t="s">
        <v>95</v>
      </c>
      <c r="C3381" t="s">
        <v>102</v>
      </c>
      <c r="D3381" s="8">
        <v>375.72</v>
      </c>
    </row>
    <row r="3382" spans="1:4" x14ac:dyDescent="0.45">
      <c r="A3382" s="7">
        <v>45366</v>
      </c>
      <c r="B3382" t="s">
        <v>95</v>
      </c>
      <c r="C3382" t="s">
        <v>109</v>
      </c>
      <c r="D3382" s="8">
        <v>64.45</v>
      </c>
    </row>
    <row r="3383" spans="1:4" x14ac:dyDescent="0.45">
      <c r="A3383" s="7">
        <v>45845</v>
      </c>
      <c r="B3383" t="s">
        <v>93</v>
      </c>
      <c r="C3383" t="s">
        <v>100</v>
      </c>
      <c r="D3383" s="8">
        <v>-82.39</v>
      </c>
    </row>
    <row r="3384" spans="1:4" x14ac:dyDescent="0.45">
      <c r="A3384" s="7">
        <v>45387</v>
      </c>
      <c r="B3384" t="s">
        <v>97</v>
      </c>
      <c r="C3384" t="s">
        <v>107</v>
      </c>
      <c r="D3384" s="8">
        <v>51.84</v>
      </c>
    </row>
    <row r="3385" spans="1:4" x14ac:dyDescent="0.45">
      <c r="A3385" s="7">
        <v>45984</v>
      </c>
      <c r="B3385" t="s">
        <v>93</v>
      </c>
      <c r="C3385" t="s">
        <v>103</v>
      </c>
      <c r="D3385" s="8">
        <v>478</v>
      </c>
    </row>
    <row r="3386" spans="1:4" x14ac:dyDescent="0.45">
      <c r="A3386" s="7">
        <v>45704</v>
      </c>
      <c r="B3386" t="s">
        <v>97</v>
      </c>
      <c r="C3386" t="s">
        <v>101</v>
      </c>
      <c r="D3386" s="8">
        <v>362.85</v>
      </c>
    </row>
    <row r="3387" spans="1:4" x14ac:dyDescent="0.45">
      <c r="A3387" s="7">
        <v>46074</v>
      </c>
      <c r="B3387" t="s">
        <v>93</v>
      </c>
      <c r="C3387" t="s">
        <v>94</v>
      </c>
      <c r="D3387" s="8">
        <v>477.93</v>
      </c>
    </row>
    <row r="3388" spans="1:4" x14ac:dyDescent="0.45">
      <c r="A3388" s="7">
        <v>45496</v>
      </c>
      <c r="B3388" t="s">
        <v>93</v>
      </c>
      <c r="C3388" t="s">
        <v>100</v>
      </c>
      <c r="D3388" s="8">
        <v>142.97</v>
      </c>
    </row>
    <row r="3389" spans="1:4" x14ac:dyDescent="0.45">
      <c r="A3389" s="7">
        <v>45333</v>
      </c>
      <c r="B3389" t="s">
        <v>93</v>
      </c>
      <c r="C3389" t="s">
        <v>106</v>
      </c>
      <c r="D3389" s="8">
        <v>389.29</v>
      </c>
    </row>
    <row r="3390" spans="1:4" x14ac:dyDescent="0.45">
      <c r="A3390" s="7">
        <v>45775</v>
      </c>
      <c r="B3390" t="s">
        <v>95</v>
      </c>
      <c r="C3390" t="s">
        <v>108</v>
      </c>
      <c r="D3390" s="8">
        <v>67.94</v>
      </c>
    </row>
    <row r="3391" spans="1:4" x14ac:dyDescent="0.45">
      <c r="A3391" s="7">
        <v>45930</v>
      </c>
      <c r="B3391" t="s">
        <v>97</v>
      </c>
      <c r="C3391" t="s">
        <v>107</v>
      </c>
      <c r="D3391" s="8">
        <v>405.78</v>
      </c>
    </row>
    <row r="3392" spans="1:4" x14ac:dyDescent="0.45">
      <c r="A3392" s="7">
        <v>45676</v>
      </c>
      <c r="B3392" t="s">
        <v>93</v>
      </c>
      <c r="C3392" t="s">
        <v>103</v>
      </c>
      <c r="D3392" s="8">
        <v>435.79</v>
      </c>
    </row>
    <row r="3393" spans="1:4" x14ac:dyDescent="0.45">
      <c r="A3393" s="7">
        <v>45378</v>
      </c>
      <c r="B3393" t="s">
        <v>97</v>
      </c>
      <c r="C3393" t="s">
        <v>107</v>
      </c>
      <c r="D3393" s="8">
        <v>360.63</v>
      </c>
    </row>
    <row r="3394" spans="1:4" x14ac:dyDescent="0.45">
      <c r="A3394" s="7">
        <v>46191</v>
      </c>
      <c r="B3394" t="s">
        <v>95</v>
      </c>
      <c r="C3394" t="s">
        <v>102</v>
      </c>
      <c r="D3394" s="8">
        <v>205.09</v>
      </c>
    </row>
    <row r="3395" spans="1:4" x14ac:dyDescent="0.45">
      <c r="A3395" s="7">
        <v>45904</v>
      </c>
      <c r="B3395" t="s">
        <v>97</v>
      </c>
      <c r="C3395" t="s">
        <v>98</v>
      </c>
      <c r="D3395" s="8">
        <v>-31.42</v>
      </c>
    </row>
    <row r="3396" spans="1:4" x14ac:dyDescent="0.45">
      <c r="A3396" s="7">
        <v>45386</v>
      </c>
      <c r="B3396" t="s">
        <v>93</v>
      </c>
      <c r="C3396" t="s">
        <v>106</v>
      </c>
      <c r="D3396" s="8">
        <v>198.17</v>
      </c>
    </row>
    <row r="3397" spans="1:4" x14ac:dyDescent="0.45">
      <c r="A3397" s="7">
        <v>45768</v>
      </c>
      <c r="B3397" t="s">
        <v>95</v>
      </c>
      <c r="C3397" t="s">
        <v>109</v>
      </c>
      <c r="D3397" s="8">
        <v>51.83</v>
      </c>
    </row>
    <row r="3398" spans="1:4" x14ac:dyDescent="0.45">
      <c r="A3398" s="7">
        <v>46161</v>
      </c>
      <c r="B3398" t="s">
        <v>97</v>
      </c>
      <c r="C3398" t="s">
        <v>101</v>
      </c>
      <c r="D3398" s="8">
        <v>-109.13</v>
      </c>
    </row>
    <row r="3399" spans="1:4" x14ac:dyDescent="0.45">
      <c r="A3399" s="7">
        <v>46056</v>
      </c>
      <c r="B3399" t="s">
        <v>95</v>
      </c>
      <c r="C3399" t="s">
        <v>105</v>
      </c>
      <c r="D3399" s="8">
        <v>-118.57</v>
      </c>
    </row>
    <row r="3400" spans="1:4" x14ac:dyDescent="0.45">
      <c r="A3400" s="7">
        <v>45717</v>
      </c>
      <c r="B3400" t="s">
        <v>97</v>
      </c>
      <c r="C3400" t="s">
        <v>107</v>
      </c>
      <c r="D3400" s="8">
        <v>311.72000000000003</v>
      </c>
    </row>
    <row r="3401" spans="1:4" x14ac:dyDescent="0.45">
      <c r="A3401" s="7">
        <v>45989</v>
      </c>
      <c r="B3401" t="s">
        <v>93</v>
      </c>
      <c r="C3401" t="s">
        <v>106</v>
      </c>
      <c r="D3401" s="8">
        <v>-118.21</v>
      </c>
    </row>
    <row r="3402" spans="1:4" x14ac:dyDescent="0.45">
      <c r="A3402" s="7">
        <v>46000</v>
      </c>
      <c r="B3402" t="s">
        <v>93</v>
      </c>
      <c r="C3402" t="s">
        <v>100</v>
      </c>
      <c r="D3402" s="8">
        <v>76.09</v>
      </c>
    </row>
    <row r="3403" spans="1:4" x14ac:dyDescent="0.45">
      <c r="A3403" s="7">
        <v>45673</v>
      </c>
      <c r="B3403" t="s">
        <v>93</v>
      </c>
      <c r="C3403" t="s">
        <v>106</v>
      </c>
      <c r="D3403" s="8">
        <v>499.48</v>
      </c>
    </row>
    <row r="3404" spans="1:4" x14ac:dyDescent="0.45">
      <c r="A3404" s="7">
        <v>45599</v>
      </c>
      <c r="B3404" t="s">
        <v>93</v>
      </c>
      <c r="C3404" t="s">
        <v>100</v>
      </c>
      <c r="D3404" s="8">
        <v>302.08999999999997</v>
      </c>
    </row>
    <row r="3405" spans="1:4" x14ac:dyDescent="0.45">
      <c r="A3405" s="7">
        <v>45400</v>
      </c>
      <c r="B3405" t="s">
        <v>97</v>
      </c>
      <c r="C3405" t="s">
        <v>98</v>
      </c>
      <c r="D3405" s="8">
        <v>231.7</v>
      </c>
    </row>
    <row r="3406" spans="1:4" x14ac:dyDescent="0.45">
      <c r="A3406" s="7">
        <v>45857</v>
      </c>
      <c r="B3406" t="s">
        <v>93</v>
      </c>
      <c r="C3406" t="s">
        <v>103</v>
      </c>
      <c r="D3406" s="8">
        <v>-49.35</v>
      </c>
    </row>
    <row r="3407" spans="1:4" x14ac:dyDescent="0.45">
      <c r="A3407" s="7">
        <v>45662</v>
      </c>
      <c r="B3407" t="s">
        <v>93</v>
      </c>
      <c r="C3407" t="s">
        <v>100</v>
      </c>
      <c r="D3407" s="8">
        <v>-103.81</v>
      </c>
    </row>
    <row r="3408" spans="1:4" x14ac:dyDescent="0.45">
      <c r="A3408" s="7">
        <v>45605</v>
      </c>
      <c r="B3408" t="s">
        <v>95</v>
      </c>
      <c r="C3408" t="s">
        <v>105</v>
      </c>
      <c r="D3408" s="8">
        <v>442.95</v>
      </c>
    </row>
    <row r="3409" spans="1:4" x14ac:dyDescent="0.45">
      <c r="A3409" s="7">
        <v>46074</v>
      </c>
      <c r="B3409" t="s">
        <v>97</v>
      </c>
      <c r="C3409" t="s">
        <v>104</v>
      </c>
      <c r="D3409" s="8">
        <v>411.39</v>
      </c>
    </row>
    <row r="3410" spans="1:4" x14ac:dyDescent="0.45">
      <c r="A3410" s="7">
        <v>45630</v>
      </c>
      <c r="B3410" t="s">
        <v>97</v>
      </c>
      <c r="C3410" t="s">
        <v>104</v>
      </c>
      <c r="D3410" s="8">
        <v>-125.3</v>
      </c>
    </row>
    <row r="3411" spans="1:4" x14ac:dyDescent="0.45">
      <c r="A3411" s="7">
        <v>45768</v>
      </c>
      <c r="B3411" t="s">
        <v>97</v>
      </c>
      <c r="C3411" t="s">
        <v>104</v>
      </c>
      <c r="D3411" s="8">
        <v>323.24</v>
      </c>
    </row>
    <row r="3412" spans="1:4" x14ac:dyDescent="0.45">
      <c r="A3412" s="7">
        <v>45571</v>
      </c>
      <c r="B3412" t="s">
        <v>95</v>
      </c>
      <c r="C3412" t="s">
        <v>96</v>
      </c>
      <c r="D3412" s="8">
        <v>417.62</v>
      </c>
    </row>
    <row r="3413" spans="1:4" x14ac:dyDescent="0.45">
      <c r="A3413" s="7">
        <v>46098</v>
      </c>
      <c r="B3413" t="s">
        <v>97</v>
      </c>
      <c r="C3413" t="s">
        <v>107</v>
      </c>
      <c r="D3413" s="8">
        <v>-123.03</v>
      </c>
    </row>
    <row r="3414" spans="1:4" x14ac:dyDescent="0.45">
      <c r="A3414" s="7">
        <v>46134</v>
      </c>
      <c r="B3414" t="s">
        <v>97</v>
      </c>
      <c r="C3414" t="s">
        <v>107</v>
      </c>
      <c r="D3414" s="8">
        <v>373.01</v>
      </c>
    </row>
    <row r="3415" spans="1:4" x14ac:dyDescent="0.45">
      <c r="A3415" s="7">
        <v>45745</v>
      </c>
      <c r="B3415" t="s">
        <v>97</v>
      </c>
      <c r="C3415" t="s">
        <v>107</v>
      </c>
      <c r="D3415" s="8">
        <v>263.76</v>
      </c>
    </row>
    <row r="3416" spans="1:4" x14ac:dyDescent="0.45">
      <c r="A3416" s="7">
        <v>45918</v>
      </c>
      <c r="B3416" t="s">
        <v>97</v>
      </c>
      <c r="C3416" t="s">
        <v>98</v>
      </c>
      <c r="D3416" s="8">
        <v>264.14</v>
      </c>
    </row>
    <row r="3417" spans="1:4" x14ac:dyDescent="0.45">
      <c r="A3417" s="7">
        <v>45734</v>
      </c>
      <c r="B3417" t="s">
        <v>97</v>
      </c>
      <c r="C3417" t="s">
        <v>98</v>
      </c>
      <c r="D3417" s="8">
        <v>-13.02</v>
      </c>
    </row>
    <row r="3418" spans="1:4" x14ac:dyDescent="0.45">
      <c r="A3418" s="7">
        <v>45940</v>
      </c>
      <c r="B3418" t="s">
        <v>97</v>
      </c>
      <c r="C3418" t="s">
        <v>104</v>
      </c>
      <c r="D3418" s="8">
        <v>340.15</v>
      </c>
    </row>
    <row r="3419" spans="1:4" x14ac:dyDescent="0.45">
      <c r="A3419" s="7">
        <v>45559</v>
      </c>
      <c r="B3419" t="s">
        <v>95</v>
      </c>
      <c r="C3419" t="s">
        <v>108</v>
      </c>
      <c r="D3419" s="8">
        <v>458.62</v>
      </c>
    </row>
    <row r="3420" spans="1:4" x14ac:dyDescent="0.45">
      <c r="A3420" s="7">
        <v>45414</v>
      </c>
      <c r="B3420" t="s">
        <v>97</v>
      </c>
      <c r="C3420" t="s">
        <v>101</v>
      </c>
      <c r="D3420" s="8">
        <v>252.31</v>
      </c>
    </row>
    <row r="3421" spans="1:4" x14ac:dyDescent="0.45">
      <c r="A3421" s="7">
        <v>46162</v>
      </c>
      <c r="B3421" t="s">
        <v>95</v>
      </c>
      <c r="C3421" t="s">
        <v>105</v>
      </c>
      <c r="D3421" s="8">
        <v>52.37</v>
      </c>
    </row>
    <row r="3422" spans="1:4" x14ac:dyDescent="0.45">
      <c r="A3422" s="7">
        <v>45618</v>
      </c>
      <c r="B3422" t="s">
        <v>95</v>
      </c>
      <c r="C3422" t="s">
        <v>96</v>
      </c>
      <c r="D3422" s="8">
        <v>402.67</v>
      </c>
    </row>
    <row r="3423" spans="1:4" x14ac:dyDescent="0.45">
      <c r="A3423" s="7">
        <v>45465</v>
      </c>
      <c r="B3423" t="s">
        <v>97</v>
      </c>
      <c r="C3423" t="s">
        <v>107</v>
      </c>
      <c r="D3423" s="8">
        <v>491.91</v>
      </c>
    </row>
    <row r="3424" spans="1:4" x14ac:dyDescent="0.45">
      <c r="A3424" s="7">
        <v>46139</v>
      </c>
      <c r="B3424" t="s">
        <v>95</v>
      </c>
      <c r="C3424" t="s">
        <v>96</v>
      </c>
      <c r="D3424" s="8">
        <v>128.44999999999999</v>
      </c>
    </row>
    <row r="3425" spans="1:4" x14ac:dyDescent="0.45">
      <c r="A3425" s="7">
        <v>45625</v>
      </c>
      <c r="B3425" t="s">
        <v>97</v>
      </c>
      <c r="C3425" t="s">
        <v>107</v>
      </c>
      <c r="D3425" s="8">
        <v>457.35</v>
      </c>
    </row>
    <row r="3426" spans="1:4" x14ac:dyDescent="0.45">
      <c r="A3426" s="7">
        <v>46135</v>
      </c>
      <c r="B3426" t="s">
        <v>95</v>
      </c>
      <c r="C3426" t="s">
        <v>102</v>
      </c>
      <c r="D3426" s="8">
        <v>464.47</v>
      </c>
    </row>
    <row r="3427" spans="1:4" x14ac:dyDescent="0.45">
      <c r="A3427" s="7">
        <v>46020</v>
      </c>
      <c r="B3427" t="s">
        <v>93</v>
      </c>
      <c r="C3427" t="s">
        <v>100</v>
      </c>
      <c r="D3427" s="8">
        <v>-107.09</v>
      </c>
    </row>
    <row r="3428" spans="1:4" x14ac:dyDescent="0.45">
      <c r="A3428" s="7">
        <v>45364</v>
      </c>
      <c r="B3428" t="s">
        <v>97</v>
      </c>
      <c r="C3428" t="s">
        <v>107</v>
      </c>
      <c r="D3428" s="8">
        <v>125.59</v>
      </c>
    </row>
    <row r="3429" spans="1:4" x14ac:dyDescent="0.45">
      <c r="A3429" s="7">
        <v>45385</v>
      </c>
      <c r="B3429" t="s">
        <v>93</v>
      </c>
      <c r="C3429" t="s">
        <v>94</v>
      </c>
      <c r="D3429" s="8">
        <v>7.44</v>
      </c>
    </row>
    <row r="3430" spans="1:4" x14ac:dyDescent="0.45">
      <c r="A3430" s="7">
        <v>45579</v>
      </c>
      <c r="B3430" t="s">
        <v>93</v>
      </c>
      <c r="C3430" t="s">
        <v>103</v>
      </c>
      <c r="D3430" s="8">
        <v>262.98</v>
      </c>
    </row>
    <row r="3431" spans="1:4" x14ac:dyDescent="0.45">
      <c r="A3431" s="7">
        <v>46019</v>
      </c>
      <c r="B3431" t="s">
        <v>93</v>
      </c>
      <c r="C3431" t="s">
        <v>106</v>
      </c>
      <c r="D3431" s="8">
        <v>324.91000000000003</v>
      </c>
    </row>
    <row r="3432" spans="1:4" x14ac:dyDescent="0.45">
      <c r="A3432" s="7">
        <v>45315</v>
      </c>
      <c r="B3432" t="s">
        <v>93</v>
      </c>
      <c r="C3432" t="s">
        <v>94</v>
      </c>
      <c r="D3432" s="8">
        <v>152.34</v>
      </c>
    </row>
    <row r="3433" spans="1:4" x14ac:dyDescent="0.45">
      <c r="A3433" s="7">
        <v>46099</v>
      </c>
      <c r="B3433" t="s">
        <v>95</v>
      </c>
      <c r="C3433" t="s">
        <v>105</v>
      </c>
      <c r="D3433" s="8">
        <v>187.71</v>
      </c>
    </row>
    <row r="3434" spans="1:4" x14ac:dyDescent="0.45">
      <c r="A3434" s="7">
        <v>45825</v>
      </c>
      <c r="B3434" t="s">
        <v>93</v>
      </c>
      <c r="C3434" t="s">
        <v>103</v>
      </c>
      <c r="D3434" s="8">
        <v>-30.26</v>
      </c>
    </row>
    <row r="3435" spans="1:4" x14ac:dyDescent="0.45">
      <c r="A3435" s="7">
        <v>45971</v>
      </c>
      <c r="B3435" t="s">
        <v>93</v>
      </c>
      <c r="C3435" t="s">
        <v>100</v>
      </c>
      <c r="D3435" s="8">
        <v>13.5</v>
      </c>
    </row>
    <row r="3436" spans="1:4" x14ac:dyDescent="0.45">
      <c r="A3436" s="7">
        <v>46002</v>
      </c>
      <c r="B3436" t="s">
        <v>93</v>
      </c>
      <c r="C3436" t="s">
        <v>103</v>
      </c>
      <c r="D3436" s="8">
        <v>47.1</v>
      </c>
    </row>
    <row r="3437" spans="1:4" x14ac:dyDescent="0.45">
      <c r="A3437" s="7">
        <v>46091</v>
      </c>
      <c r="B3437" t="s">
        <v>97</v>
      </c>
      <c r="C3437" t="s">
        <v>101</v>
      </c>
      <c r="D3437" s="8">
        <v>125.23</v>
      </c>
    </row>
    <row r="3438" spans="1:4" x14ac:dyDescent="0.45">
      <c r="A3438" s="7">
        <v>45781</v>
      </c>
      <c r="B3438" t="s">
        <v>97</v>
      </c>
      <c r="C3438" t="s">
        <v>98</v>
      </c>
      <c r="D3438" s="8">
        <v>104.37</v>
      </c>
    </row>
    <row r="3439" spans="1:4" x14ac:dyDescent="0.45">
      <c r="A3439" s="7">
        <v>45931</v>
      </c>
      <c r="B3439" t="s">
        <v>95</v>
      </c>
      <c r="C3439" t="s">
        <v>96</v>
      </c>
      <c r="D3439" s="8">
        <v>32.1</v>
      </c>
    </row>
    <row r="3440" spans="1:4" x14ac:dyDescent="0.45">
      <c r="A3440" s="7">
        <v>45749</v>
      </c>
      <c r="B3440" t="s">
        <v>97</v>
      </c>
      <c r="C3440" t="s">
        <v>98</v>
      </c>
      <c r="D3440" s="8">
        <v>8.24</v>
      </c>
    </row>
    <row r="3441" spans="1:4" x14ac:dyDescent="0.45">
      <c r="A3441" s="7">
        <v>45542</v>
      </c>
      <c r="B3441" t="s">
        <v>93</v>
      </c>
      <c r="C3441" t="s">
        <v>103</v>
      </c>
      <c r="D3441" s="8">
        <v>-117.53</v>
      </c>
    </row>
    <row r="3442" spans="1:4" x14ac:dyDescent="0.45">
      <c r="A3442" s="7">
        <v>45617</v>
      </c>
      <c r="B3442" t="s">
        <v>97</v>
      </c>
      <c r="C3442" t="s">
        <v>98</v>
      </c>
      <c r="D3442" s="8">
        <v>-27.7</v>
      </c>
    </row>
    <row r="3443" spans="1:4" x14ac:dyDescent="0.45">
      <c r="A3443" s="7">
        <v>46176</v>
      </c>
      <c r="B3443" t="s">
        <v>95</v>
      </c>
      <c r="C3443" t="s">
        <v>102</v>
      </c>
      <c r="D3443" s="8">
        <v>-91.83</v>
      </c>
    </row>
    <row r="3444" spans="1:4" x14ac:dyDescent="0.45">
      <c r="A3444" s="7">
        <v>45790</v>
      </c>
      <c r="B3444" t="s">
        <v>95</v>
      </c>
      <c r="C3444" t="s">
        <v>109</v>
      </c>
      <c r="D3444" s="8">
        <v>240.08</v>
      </c>
    </row>
    <row r="3445" spans="1:4" x14ac:dyDescent="0.45">
      <c r="A3445" s="7">
        <v>45721</v>
      </c>
      <c r="B3445" t="s">
        <v>97</v>
      </c>
      <c r="C3445" t="s">
        <v>107</v>
      </c>
      <c r="D3445" s="8">
        <v>-141.56</v>
      </c>
    </row>
    <row r="3446" spans="1:4" x14ac:dyDescent="0.45">
      <c r="A3446" s="7">
        <v>45658</v>
      </c>
      <c r="B3446" t="s">
        <v>95</v>
      </c>
      <c r="C3446" t="s">
        <v>108</v>
      </c>
      <c r="D3446" s="8">
        <v>104.98</v>
      </c>
    </row>
    <row r="3447" spans="1:4" x14ac:dyDescent="0.45">
      <c r="A3447" s="7">
        <v>46053</v>
      </c>
      <c r="B3447" t="s">
        <v>95</v>
      </c>
      <c r="C3447" t="s">
        <v>96</v>
      </c>
      <c r="D3447" s="8">
        <v>163.41</v>
      </c>
    </row>
    <row r="3448" spans="1:4" x14ac:dyDescent="0.45">
      <c r="A3448" s="7">
        <v>45774</v>
      </c>
      <c r="B3448" t="s">
        <v>97</v>
      </c>
      <c r="C3448" t="s">
        <v>98</v>
      </c>
      <c r="D3448" s="8">
        <v>-124.02</v>
      </c>
    </row>
    <row r="3449" spans="1:4" x14ac:dyDescent="0.45">
      <c r="A3449" s="7">
        <v>45402</v>
      </c>
      <c r="B3449" t="s">
        <v>95</v>
      </c>
      <c r="C3449" t="s">
        <v>109</v>
      </c>
      <c r="D3449" s="8">
        <v>395.36</v>
      </c>
    </row>
    <row r="3450" spans="1:4" x14ac:dyDescent="0.45">
      <c r="A3450" s="7">
        <v>45418</v>
      </c>
      <c r="B3450" t="s">
        <v>95</v>
      </c>
      <c r="C3450" t="s">
        <v>105</v>
      </c>
      <c r="D3450" s="8">
        <v>247.38</v>
      </c>
    </row>
    <row r="3451" spans="1:4" x14ac:dyDescent="0.45">
      <c r="A3451" s="7">
        <v>45765</v>
      </c>
      <c r="B3451" t="s">
        <v>97</v>
      </c>
      <c r="C3451" t="s">
        <v>98</v>
      </c>
      <c r="D3451" s="8">
        <v>426.51</v>
      </c>
    </row>
    <row r="3452" spans="1:4" x14ac:dyDescent="0.45">
      <c r="A3452" s="7">
        <v>45596</v>
      </c>
      <c r="B3452" t="s">
        <v>97</v>
      </c>
      <c r="C3452" t="s">
        <v>107</v>
      </c>
      <c r="D3452" s="8">
        <v>290.85000000000002</v>
      </c>
    </row>
    <row r="3453" spans="1:4" x14ac:dyDescent="0.45">
      <c r="A3453" s="7">
        <v>46162</v>
      </c>
      <c r="B3453" t="s">
        <v>93</v>
      </c>
      <c r="C3453" t="s">
        <v>94</v>
      </c>
      <c r="D3453" s="8">
        <v>174.93</v>
      </c>
    </row>
    <row r="3454" spans="1:4" x14ac:dyDescent="0.45">
      <c r="A3454" s="7">
        <v>45903</v>
      </c>
      <c r="B3454" t="s">
        <v>95</v>
      </c>
      <c r="C3454" t="s">
        <v>108</v>
      </c>
      <c r="D3454" s="8">
        <v>103.56</v>
      </c>
    </row>
    <row r="3455" spans="1:4" x14ac:dyDescent="0.45">
      <c r="A3455" s="7">
        <v>45494</v>
      </c>
      <c r="B3455" t="s">
        <v>97</v>
      </c>
      <c r="C3455" t="s">
        <v>98</v>
      </c>
      <c r="D3455" s="8">
        <v>16.97</v>
      </c>
    </row>
    <row r="3456" spans="1:4" x14ac:dyDescent="0.45">
      <c r="A3456" s="7">
        <v>45665</v>
      </c>
      <c r="B3456" t="s">
        <v>97</v>
      </c>
      <c r="C3456" t="s">
        <v>104</v>
      </c>
      <c r="D3456" s="8">
        <v>102.4</v>
      </c>
    </row>
    <row r="3457" spans="1:4" x14ac:dyDescent="0.45">
      <c r="A3457" s="7">
        <v>45446</v>
      </c>
      <c r="B3457" t="s">
        <v>97</v>
      </c>
      <c r="C3457" t="s">
        <v>104</v>
      </c>
      <c r="D3457" s="8">
        <v>51.31</v>
      </c>
    </row>
    <row r="3458" spans="1:4" x14ac:dyDescent="0.45">
      <c r="A3458" s="7">
        <v>45468</v>
      </c>
      <c r="B3458" t="s">
        <v>95</v>
      </c>
      <c r="C3458" t="s">
        <v>108</v>
      </c>
      <c r="D3458" s="8">
        <v>-109.68</v>
      </c>
    </row>
    <row r="3459" spans="1:4" x14ac:dyDescent="0.45">
      <c r="A3459" s="7">
        <v>45303</v>
      </c>
      <c r="B3459" t="s">
        <v>97</v>
      </c>
      <c r="C3459" t="s">
        <v>101</v>
      </c>
      <c r="D3459" s="8">
        <v>-16.68</v>
      </c>
    </row>
    <row r="3460" spans="1:4" x14ac:dyDescent="0.45">
      <c r="A3460" s="7">
        <v>45311</v>
      </c>
      <c r="B3460" t="s">
        <v>93</v>
      </c>
      <c r="C3460" t="s">
        <v>103</v>
      </c>
      <c r="D3460" s="8">
        <v>-58.48</v>
      </c>
    </row>
    <row r="3461" spans="1:4" x14ac:dyDescent="0.45">
      <c r="A3461" s="7">
        <v>45328</v>
      </c>
      <c r="B3461" t="s">
        <v>93</v>
      </c>
      <c r="C3461" t="s">
        <v>94</v>
      </c>
      <c r="D3461" s="8">
        <v>105.62</v>
      </c>
    </row>
    <row r="3462" spans="1:4" x14ac:dyDescent="0.45">
      <c r="A3462" s="7">
        <v>45984</v>
      </c>
      <c r="B3462" t="s">
        <v>97</v>
      </c>
      <c r="C3462" t="s">
        <v>107</v>
      </c>
      <c r="D3462" s="8">
        <v>180.06</v>
      </c>
    </row>
    <row r="3463" spans="1:4" x14ac:dyDescent="0.45">
      <c r="A3463" s="7">
        <v>45604</v>
      </c>
      <c r="B3463" t="s">
        <v>93</v>
      </c>
      <c r="C3463" t="s">
        <v>100</v>
      </c>
      <c r="D3463" s="8">
        <v>153.57</v>
      </c>
    </row>
    <row r="3464" spans="1:4" x14ac:dyDescent="0.45">
      <c r="A3464" s="7">
        <v>46132</v>
      </c>
      <c r="B3464" t="s">
        <v>93</v>
      </c>
      <c r="C3464" t="s">
        <v>94</v>
      </c>
      <c r="D3464" s="8">
        <v>273.51</v>
      </c>
    </row>
    <row r="3465" spans="1:4" x14ac:dyDescent="0.45">
      <c r="A3465" s="7">
        <v>45939</v>
      </c>
      <c r="B3465" t="s">
        <v>97</v>
      </c>
      <c r="C3465" t="s">
        <v>104</v>
      </c>
      <c r="D3465" s="8">
        <v>167.13</v>
      </c>
    </row>
    <row r="3466" spans="1:4" x14ac:dyDescent="0.45">
      <c r="A3466" s="7">
        <v>45303</v>
      </c>
      <c r="B3466" t="s">
        <v>93</v>
      </c>
      <c r="C3466" t="s">
        <v>106</v>
      </c>
      <c r="D3466" s="8">
        <v>-39.380000000000003</v>
      </c>
    </row>
    <row r="3467" spans="1:4" x14ac:dyDescent="0.45">
      <c r="A3467" s="7">
        <v>45379</v>
      </c>
      <c r="B3467" t="s">
        <v>97</v>
      </c>
      <c r="C3467" t="s">
        <v>101</v>
      </c>
      <c r="D3467" s="8">
        <v>394.58</v>
      </c>
    </row>
    <row r="3468" spans="1:4" x14ac:dyDescent="0.45">
      <c r="A3468" s="7">
        <v>45322</v>
      </c>
      <c r="B3468" t="s">
        <v>93</v>
      </c>
      <c r="C3468" t="s">
        <v>100</v>
      </c>
      <c r="D3468" s="8">
        <v>148.19</v>
      </c>
    </row>
    <row r="3469" spans="1:4" x14ac:dyDescent="0.45">
      <c r="A3469" s="7">
        <v>45511</v>
      </c>
      <c r="B3469" t="s">
        <v>97</v>
      </c>
      <c r="C3469" t="s">
        <v>98</v>
      </c>
      <c r="D3469" s="8">
        <v>207.7</v>
      </c>
    </row>
    <row r="3470" spans="1:4" x14ac:dyDescent="0.45">
      <c r="A3470" s="7">
        <v>45575</v>
      </c>
      <c r="B3470" t="s">
        <v>95</v>
      </c>
      <c r="C3470" t="s">
        <v>102</v>
      </c>
      <c r="D3470" s="8">
        <v>-93.22</v>
      </c>
    </row>
    <row r="3471" spans="1:4" x14ac:dyDescent="0.45">
      <c r="A3471" s="7">
        <v>46037</v>
      </c>
      <c r="B3471" t="s">
        <v>93</v>
      </c>
      <c r="C3471" t="s">
        <v>100</v>
      </c>
      <c r="D3471" s="8">
        <v>235.3</v>
      </c>
    </row>
    <row r="3472" spans="1:4" x14ac:dyDescent="0.45">
      <c r="A3472" s="7">
        <v>45441</v>
      </c>
      <c r="B3472" t="s">
        <v>97</v>
      </c>
      <c r="C3472" t="s">
        <v>107</v>
      </c>
      <c r="D3472" s="8">
        <v>-23.3</v>
      </c>
    </row>
    <row r="3473" spans="1:4" x14ac:dyDescent="0.45">
      <c r="A3473" s="7">
        <v>45408</v>
      </c>
      <c r="B3473" t="s">
        <v>95</v>
      </c>
      <c r="C3473" t="s">
        <v>109</v>
      </c>
      <c r="D3473" s="8">
        <v>195.24</v>
      </c>
    </row>
    <row r="3474" spans="1:4" x14ac:dyDescent="0.45">
      <c r="A3474" s="7">
        <v>45906</v>
      </c>
      <c r="B3474" t="s">
        <v>95</v>
      </c>
      <c r="C3474" t="s">
        <v>105</v>
      </c>
      <c r="D3474" s="8">
        <v>205.48</v>
      </c>
    </row>
    <row r="3475" spans="1:4" x14ac:dyDescent="0.45">
      <c r="A3475" s="7">
        <v>46012</v>
      </c>
      <c r="B3475" t="s">
        <v>93</v>
      </c>
      <c r="C3475" t="s">
        <v>103</v>
      </c>
      <c r="D3475" s="8">
        <v>-112.59</v>
      </c>
    </row>
    <row r="3476" spans="1:4" x14ac:dyDescent="0.45">
      <c r="A3476" s="7">
        <v>45999</v>
      </c>
      <c r="B3476" t="s">
        <v>97</v>
      </c>
      <c r="C3476" t="s">
        <v>98</v>
      </c>
      <c r="D3476" s="8">
        <v>499.17</v>
      </c>
    </row>
    <row r="3477" spans="1:4" x14ac:dyDescent="0.45">
      <c r="A3477" s="7">
        <v>46145</v>
      </c>
      <c r="B3477" t="s">
        <v>95</v>
      </c>
      <c r="C3477" t="s">
        <v>109</v>
      </c>
      <c r="D3477" s="8">
        <v>-6.96</v>
      </c>
    </row>
    <row r="3478" spans="1:4" x14ac:dyDescent="0.45">
      <c r="A3478" s="7">
        <v>45833</v>
      </c>
      <c r="B3478" t="s">
        <v>97</v>
      </c>
      <c r="C3478" t="s">
        <v>104</v>
      </c>
      <c r="D3478" s="8">
        <v>44.94</v>
      </c>
    </row>
    <row r="3479" spans="1:4" x14ac:dyDescent="0.45">
      <c r="A3479" s="7">
        <v>45803</v>
      </c>
      <c r="B3479" t="s">
        <v>95</v>
      </c>
      <c r="C3479" t="s">
        <v>108</v>
      </c>
      <c r="D3479" s="8">
        <v>35.549999999999997</v>
      </c>
    </row>
    <row r="3480" spans="1:4" x14ac:dyDescent="0.45">
      <c r="A3480" s="7">
        <v>45703</v>
      </c>
      <c r="B3480" t="s">
        <v>93</v>
      </c>
      <c r="C3480" t="s">
        <v>94</v>
      </c>
      <c r="D3480" s="8">
        <v>120.16</v>
      </c>
    </row>
    <row r="3481" spans="1:4" x14ac:dyDescent="0.45">
      <c r="A3481" s="7">
        <v>46013</v>
      </c>
      <c r="B3481" t="s">
        <v>95</v>
      </c>
      <c r="C3481" t="s">
        <v>96</v>
      </c>
      <c r="D3481" s="8">
        <v>385.35</v>
      </c>
    </row>
    <row r="3482" spans="1:4" x14ac:dyDescent="0.45">
      <c r="A3482" s="7">
        <v>46125</v>
      </c>
      <c r="B3482" t="s">
        <v>97</v>
      </c>
      <c r="C3482" t="s">
        <v>104</v>
      </c>
      <c r="D3482" s="8">
        <v>-29.73</v>
      </c>
    </row>
    <row r="3483" spans="1:4" x14ac:dyDescent="0.45">
      <c r="A3483" s="7">
        <v>45936</v>
      </c>
      <c r="B3483" t="s">
        <v>93</v>
      </c>
      <c r="C3483" t="s">
        <v>94</v>
      </c>
      <c r="D3483" s="8">
        <v>-82.67</v>
      </c>
    </row>
    <row r="3484" spans="1:4" x14ac:dyDescent="0.45">
      <c r="A3484" s="7">
        <v>45648</v>
      </c>
      <c r="B3484" t="s">
        <v>97</v>
      </c>
      <c r="C3484" t="s">
        <v>104</v>
      </c>
      <c r="D3484" s="8">
        <v>147.41999999999999</v>
      </c>
    </row>
    <row r="3485" spans="1:4" x14ac:dyDescent="0.45">
      <c r="A3485" s="7">
        <v>45644</v>
      </c>
      <c r="B3485" t="s">
        <v>93</v>
      </c>
      <c r="C3485" t="s">
        <v>94</v>
      </c>
      <c r="D3485" s="8">
        <v>110.83</v>
      </c>
    </row>
    <row r="3486" spans="1:4" x14ac:dyDescent="0.45">
      <c r="A3486" s="7">
        <v>45806</v>
      </c>
      <c r="B3486" t="s">
        <v>95</v>
      </c>
      <c r="C3486" t="s">
        <v>105</v>
      </c>
      <c r="D3486" s="8">
        <v>477.48</v>
      </c>
    </row>
    <row r="3487" spans="1:4" x14ac:dyDescent="0.45">
      <c r="A3487" s="7">
        <v>46076</v>
      </c>
      <c r="B3487" t="s">
        <v>95</v>
      </c>
      <c r="C3487" t="s">
        <v>108</v>
      </c>
      <c r="D3487" s="8">
        <v>401.77</v>
      </c>
    </row>
    <row r="3488" spans="1:4" x14ac:dyDescent="0.45">
      <c r="A3488" s="7">
        <v>45304</v>
      </c>
      <c r="B3488" t="s">
        <v>93</v>
      </c>
      <c r="C3488" t="s">
        <v>94</v>
      </c>
      <c r="D3488" s="8">
        <v>329.08</v>
      </c>
    </row>
    <row r="3489" spans="1:4" x14ac:dyDescent="0.45">
      <c r="A3489" s="7">
        <v>45465</v>
      </c>
      <c r="B3489" t="s">
        <v>97</v>
      </c>
      <c r="C3489" t="s">
        <v>98</v>
      </c>
      <c r="D3489" s="8">
        <v>84.79</v>
      </c>
    </row>
    <row r="3490" spans="1:4" x14ac:dyDescent="0.45">
      <c r="A3490" s="7">
        <v>45646</v>
      </c>
      <c r="B3490" t="s">
        <v>95</v>
      </c>
      <c r="C3490" t="s">
        <v>105</v>
      </c>
      <c r="D3490" s="8">
        <v>238.83</v>
      </c>
    </row>
    <row r="3491" spans="1:4" x14ac:dyDescent="0.45">
      <c r="A3491" s="7">
        <v>45574</v>
      </c>
      <c r="B3491" t="s">
        <v>93</v>
      </c>
      <c r="C3491" t="s">
        <v>94</v>
      </c>
      <c r="D3491" s="8">
        <v>29.19</v>
      </c>
    </row>
    <row r="3492" spans="1:4" x14ac:dyDescent="0.45">
      <c r="A3492" s="7">
        <v>46104</v>
      </c>
      <c r="B3492" t="s">
        <v>97</v>
      </c>
      <c r="C3492" t="s">
        <v>98</v>
      </c>
      <c r="D3492" s="8">
        <v>50.5</v>
      </c>
    </row>
    <row r="3493" spans="1:4" x14ac:dyDescent="0.45">
      <c r="A3493" s="7">
        <v>45468</v>
      </c>
      <c r="B3493" t="s">
        <v>95</v>
      </c>
      <c r="C3493" t="s">
        <v>102</v>
      </c>
      <c r="D3493" s="8">
        <v>495.77</v>
      </c>
    </row>
    <row r="3494" spans="1:4" x14ac:dyDescent="0.45">
      <c r="A3494" s="7">
        <v>46100</v>
      </c>
      <c r="B3494" t="s">
        <v>97</v>
      </c>
      <c r="C3494" t="s">
        <v>101</v>
      </c>
      <c r="D3494" s="8">
        <v>318.04000000000002</v>
      </c>
    </row>
    <row r="3495" spans="1:4" x14ac:dyDescent="0.45">
      <c r="A3495" s="7">
        <v>45306</v>
      </c>
      <c r="B3495" t="s">
        <v>93</v>
      </c>
      <c r="C3495" t="s">
        <v>106</v>
      </c>
      <c r="D3495" s="8">
        <v>-102.69</v>
      </c>
    </row>
    <row r="3496" spans="1:4" x14ac:dyDescent="0.45">
      <c r="A3496" s="7">
        <v>45923</v>
      </c>
      <c r="B3496" t="s">
        <v>97</v>
      </c>
      <c r="C3496" t="s">
        <v>104</v>
      </c>
      <c r="D3496" s="8">
        <v>54.51</v>
      </c>
    </row>
    <row r="3497" spans="1:4" x14ac:dyDescent="0.45">
      <c r="A3497" s="7">
        <v>45913</v>
      </c>
      <c r="B3497" t="s">
        <v>93</v>
      </c>
      <c r="C3497" t="s">
        <v>100</v>
      </c>
      <c r="D3497" s="8">
        <v>9.17</v>
      </c>
    </row>
    <row r="3498" spans="1:4" x14ac:dyDescent="0.45">
      <c r="A3498" s="7">
        <v>45722</v>
      </c>
      <c r="B3498" t="s">
        <v>97</v>
      </c>
      <c r="C3498" t="s">
        <v>104</v>
      </c>
      <c r="D3498" s="8">
        <v>183.74</v>
      </c>
    </row>
    <row r="3499" spans="1:4" x14ac:dyDescent="0.45">
      <c r="A3499" s="7">
        <v>45447</v>
      </c>
      <c r="B3499" t="s">
        <v>95</v>
      </c>
      <c r="C3499" t="s">
        <v>108</v>
      </c>
      <c r="D3499" s="8">
        <v>33.229999999999997</v>
      </c>
    </row>
    <row r="3500" spans="1:4" x14ac:dyDescent="0.45">
      <c r="A3500" s="7">
        <v>46106</v>
      </c>
      <c r="B3500" t="s">
        <v>97</v>
      </c>
      <c r="C3500" t="s">
        <v>104</v>
      </c>
      <c r="D3500" s="8">
        <v>140.77000000000001</v>
      </c>
    </row>
    <row r="3501" spans="1:4" x14ac:dyDescent="0.45">
      <c r="A3501" s="7">
        <v>45821</v>
      </c>
      <c r="B3501" t="s">
        <v>95</v>
      </c>
      <c r="C3501" t="s">
        <v>108</v>
      </c>
      <c r="D3501" s="8">
        <v>229.16</v>
      </c>
    </row>
    <row r="3502" spans="1:4" x14ac:dyDescent="0.45">
      <c r="A3502" s="7">
        <v>46135</v>
      </c>
      <c r="B3502" t="s">
        <v>97</v>
      </c>
      <c r="C3502" t="s">
        <v>101</v>
      </c>
      <c r="D3502" s="8">
        <v>120.31</v>
      </c>
    </row>
    <row r="3503" spans="1:4" x14ac:dyDescent="0.45">
      <c r="A3503" s="7">
        <v>45726</v>
      </c>
      <c r="B3503" t="s">
        <v>93</v>
      </c>
      <c r="C3503" t="s">
        <v>100</v>
      </c>
      <c r="D3503" s="8">
        <v>105.82</v>
      </c>
    </row>
    <row r="3504" spans="1:4" x14ac:dyDescent="0.45">
      <c r="A3504" s="7">
        <v>45406</v>
      </c>
      <c r="B3504" t="s">
        <v>93</v>
      </c>
      <c r="C3504" t="s">
        <v>103</v>
      </c>
      <c r="D3504" s="8">
        <v>149.69999999999999</v>
      </c>
    </row>
    <row r="3505" spans="1:4" x14ac:dyDescent="0.45">
      <c r="A3505" s="7">
        <v>45432</v>
      </c>
      <c r="B3505" t="s">
        <v>95</v>
      </c>
      <c r="C3505" t="s">
        <v>108</v>
      </c>
      <c r="D3505" s="8">
        <v>386.44</v>
      </c>
    </row>
    <row r="3506" spans="1:4" x14ac:dyDescent="0.45">
      <c r="A3506" s="7">
        <v>45317</v>
      </c>
      <c r="B3506" t="s">
        <v>93</v>
      </c>
      <c r="C3506" t="s">
        <v>94</v>
      </c>
      <c r="D3506" s="8">
        <v>-85.81</v>
      </c>
    </row>
    <row r="3507" spans="1:4" x14ac:dyDescent="0.45">
      <c r="A3507" s="7">
        <v>45387</v>
      </c>
      <c r="B3507" t="s">
        <v>95</v>
      </c>
      <c r="C3507" t="s">
        <v>96</v>
      </c>
      <c r="D3507" s="8">
        <v>219.31</v>
      </c>
    </row>
    <row r="3508" spans="1:4" x14ac:dyDescent="0.45">
      <c r="A3508" s="7">
        <v>45462</v>
      </c>
      <c r="B3508" t="s">
        <v>95</v>
      </c>
      <c r="C3508" t="s">
        <v>96</v>
      </c>
      <c r="D3508" s="8">
        <v>492.81</v>
      </c>
    </row>
    <row r="3509" spans="1:4" x14ac:dyDescent="0.45">
      <c r="A3509" s="7">
        <v>46180</v>
      </c>
      <c r="B3509" t="s">
        <v>97</v>
      </c>
      <c r="C3509" t="s">
        <v>107</v>
      </c>
      <c r="D3509" s="8">
        <v>400.64</v>
      </c>
    </row>
    <row r="3510" spans="1:4" x14ac:dyDescent="0.45">
      <c r="A3510" s="7">
        <v>45743</v>
      </c>
      <c r="B3510" t="s">
        <v>97</v>
      </c>
      <c r="C3510" t="s">
        <v>107</v>
      </c>
      <c r="D3510" s="8">
        <v>-82.05</v>
      </c>
    </row>
    <row r="3511" spans="1:4" x14ac:dyDescent="0.45">
      <c r="A3511" s="7">
        <v>45988</v>
      </c>
      <c r="B3511" t="s">
        <v>97</v>
      </c>
      <c r="C3511" t="s">
        <v>98</v>
      </c>
      <c r="D3511" s="8">
        <v>365.1</v>
      </c>
    </row>
    <row r="3512" spans="1:4" x14ac:dyDescent="0.45">
      <c r="A3512" s="7">
        <v>45904</v>
      </c>
      <c r="B3512" t="s">
        <v>95</v>
      </c>
      <c r="C3512" t="s">
        <v>102</v>
      </c>
      <c r="D3512" s="8">
        <v>156.56</v>
      </c>
    </row>
    <row r="3513" spans="1:4" x14ac:dyDescent="0.45">
      <c r="A3513" s="7">
        <v>46086</v>
      </c>
      <c r="B3513" t="s">
        <v>97</v>
      </c>
      <c r="C3513" t="s">
        <v>104</v>
      </c>
      <c r="D3513" s="8">
        <v>411.42</v>
      </c>
    </row>
    <row r="3514" spans="1:4" x14ac:dyDescent="0.45">
      <c r="A3514" s="7">
        <v>45544</v>
      </c>
      <c r="B3514" t="s">
        <v>93</v>
      </c>
      <c r="C3514" t="s">
        <v>94</v>
      </c>
      <c r="D3514" s="8">
        <v>376.77</v>
      </c>
    </row>
    <row r="3515" spans="1:4" x14ac:dyDescent="0.45">
      <c r="A3515" s="7">
        <v>45878</v>
      </c>
      <c r="B3515" t="s">
        <v>95</v>
      </c>
      <c r="C3515" t="s">
        <v>108</v>
      </c>
      <c r="D3515" s="8">
        <v>-135.94999999999999</v>
      </c>
    </row>
    <row r="3516" spans="1:4" x14ac:dyDescent="0.45">
      <c r="A3516" s="7">
        <v>45783</v>
      </c>
      <c r="B3516" t="s">
        <v>93</v>
      </c>
      <c r="C3516" t="s">
        <v>106</v>
      </c>
      <c r="D3516" s="8">
        <v>295.27</v>
      </c>
    </row>
    <row r="3517" spans="1:4" x14ac:dyDescent="0.45">
      <c r="A3517" s="7">
        <v>45606</v>
      </c>
      <c r="B3517" t="s">
        <v>95</v>
      </c>
      <c r="C3517" t="s">
        <v>105</v>
      </c>
      <c r="D3517" s="8">
        <v>57.61</v>
      </c>
    </row>
    <row r="3518" spans="1:4" x14ac:dyDescent="0.45">
      <c r="A3518" s="7">
        <v>45971</v>
      </c>
      <c r="B3518" t="s">
        <v>93</v>
      </c>
      <c r="C3518" t="s">
        <v>106</v>
      </c>
      <c r="D3518" s="8">
        <v>177.89</v>
      </c>
    </row>
    <row r="3519" spans="1:4" x14ac:dyDescent="0.45">
      <c r="A3519" s="7">
        <v>45448</v>
      </c>
      <c r="B3519" t="s">
        <v>97</v>
      </c>
      <c r="C3519" t="s">
        <v>107</v>
      </c>
      <c r="D3519" s="8">
        <v>483.4</v>
      </c>
    </row>
    <row r="3520" spans="1:4" x14ac:dyDescent="0.45">
      <c r="A3520" s="7">
        <v>45448</v>
      </c>
      <c r="B3520" t="s">
        <v>95</v>
      </c>
      <c r="C3520" t="s">
        <v>108</v>
      </c>
      <c r="D3520" s="8">
        <v>-128.35</v>
      </c>
    </row>
    <row r="3521" spans="1:4" x14ac:dyDescent="0.45">
      <c r="A3521" s="7">
        <v>45463</v>
      </c>
      <c r="B3521" t="s">
        <v>97</v>
      </c>
      <c r="C3521" t="s">
        <v>107</v>
      </c>
      <c r="D3521" s="8">
        <v>16.16</v>
      </c>
    </row>
    <row r="3522" spans="1:4" x14ac:dyDescent="0.45">
      <c r="A3522" s="7">
        <v>45350</v>
      </c>
      <c r="B3522" t="s">
        <v>95</v>
      </c>
      <c r="C3522" t="s">
        <v>105</v>
      </c>
      <c r="D3522" s="8">
        <v>300.22000000000003</v>
      </c>
    </row>
    <row r="3523" spans="1:4" x14ac:dyDescent="0.45">
      <c r="A3523" s="7">
        <v>45886</v>
      </c>
      <c r="B3523" t="s">
        <v>93</v>
      </c>
      <c r="C3523" t="s">
        <v>94</v>
      </c>
      <c r="D3523" s="8">
        <v>144.77000000000001</v>
      </c>
    </row>
    <row r="3524" spans="1:4" x14ac:dyDescent="0.45">
      <c r="A3524" s="7">
        <v>45774</v>
      </c>
      <c r="B3524" t="s">
        <v>97</v>
      </c>
      <c r="C3524" t="s">
        <v>98</v>
      </c>
      <c r="D3524" s="8">
        <v>44.54</v>
      </c>
    </row>
    <row r="3525" spans="1:4" x14ac:dyDescent="0.45">
      <c r="A3525" s="7">
        <v>46100</v>
      </c>
      <c r="B3525" t="s">
        <v>97</v>
      </c>
      <c r="C3525" t="s">
        <v>98</v>
      </c>
      <c r="D3525" s="8">
        <v>468.63</v>
      </c>
    </row>
    <row r="3526" spans="1:4" x14ac:dyDescent="0.45">
      <c r="A3526" s="7">
        <v>46115</v>
      </c>
      <c r="B3526" t="s">
        <v>93</v>
      </c>
      <c r="C3526" t="s">
        <v>100</v>
      </c>
      <c r="D3526" s="8">
        <v>472.25</v>
      </c>
    </row>
    <row r="3527" spans="1:4" x14ac:dyDescent="0.45">
      <c r="A3527" s="7">
        <v>46110</v>
      </c>
      <c r="B3527" t="s">
        <v>93</v>
      </c>
      <c r="C3527" t="s">
        <v>103</v>
      </c>
      <c r="D3527" s="8">
        <v>82</v>
      </c>
    </row>
    <row r="3528" spans="1:4" x14ac:dyDescent="0.45">
      <c r="A3528" s="7">
        <v>45824</v>
      </c>
      <c r="B3528" t="s">
        <v>95</v>
      </c>
      <c r="C3528" t="s">
        <v>96</v>
      </c>
      <c r="D3528" s="8">
        <v>-132.55000000000001</v>
      </c>
    </row>
    <row r="3529" spans="1:4" x14ac:dyDescent="0.45">
      <c r="A3529" s="7">
        <v>46175</v>
      </c>
      <c r="B3529" t="s">
        <v>97</v>
      </c>
      <c r="C3529" t="s">
        <v>104</v>
      </c>
      <c r="D3529" s="8">
        <v>-147.78</v>
      </c>
    </row>
    <row r="3530" spans="1:4" x14ac:dyDescent="0.45">
      <c r="A3530" s="7">
        <v>45691</v>
      </c>
      <c r="B3530" t="s">
        <v>93</v>
      </c>
      <c r="C3530" t="s">
        <v>106</v>
      </c>
      <c r="D3530" s="8">
        <v>497.45</v>
      </c>
    </row>
    <row r="3531" spans="1:4" x14ac:dyDescent="0.45">
      <c r="A3531" s="7">
        <v>45439</v>
      </c>
      <c r="B3531" t="s">
        <v>95</v>
      </c>
      <c r="C3531" t="s">
        <v>105</v>
      </c>
      <c r="D3531" s="8">
        <v>284.37</v>
      </c>
    </row>
    <row r="3532" spans="1:4" x14ac:dyDescent="0.45">
      <c r="A3532" s="7">
        <v>45700</v>
      </c>
      <c r="B3532" t="s">
        <v>93</v>
      </c>
      <c r="C3532" t="s">
        <v>94</v>
      </c>
      <c r="D3532" s="8">
        <v>468.49</v>
      </c>
    </row>
    <row r="3533" spans="1:4" x14ac:dyDescent="0.45">
      <c r="A3533" s="7">
        <v>45924</v>
      </c>
      <c r="B3533" t="s">
        <v>93</v>
      </c>
      <c r="C3533" t="s">
        <v>106</v>
      </c>
      <c r="D3533" s="8">
        <v>288.87</v>
      </c>
    </row>
    <row r="3534" spans="1:4" x14ac:dyDescent="0.45">
      <c r="A3534" s="7">
        <v>45954</v>
      </c>
      <c r="B3534" t="s">
        <v>93</v>
      </c>
      <c r="C3534" t="s">
        <v>103</v>
      </c>
      <c r="D3534" s="8">
        <v>189.08</v>
      </c>
    </row>
    <row r="3535" spans="1:4" x14ac:dyDescent="0.45">
      <c r="A3535" s="7">
        <v>45406</v>
      </c>
      <c r="B3535" t="s">
        <v>93</v>
      </c>
      <c r="C3535" t="s">
        <v>103</v>
      </c>
      <c r="D3535" s="8">
        <v>420.82</v>
      </c>
    </row>
    <row r="3536" spans="1:4" x14ac:dyDescent="0.45">
      <c r="A3536" s="7">
        <v>45662</v>
      </c>
      <c r="B3536" t="s">
        <v>93</v>
      </c>
      <c r="C3536" t="s">
        <v>100</v>
      </c>
      <c r="D3536" s="8">
        <v>162.46</v>
      </c>
    </row>
    <row r="3537" spans="1:4" x14ac:dyDescent="0.45">
      <c r="A3537" s="7">
        <v>45934</v>
      </c>
      <c r="B3537" t="s">
        <v>95</v>
      </c>
      <c r="C3537" t="s">
        <v>109</v>
      </c>
      <c r="D3537" s="8">
        <v>-86.11</v>
      </c>
    </row>
    <row r="3538" spans="1:4" x14ac:dyDescent="0.45">
      <c r="A3538" s="7">
        <v>45655</v>
      </c>
      <c r="B3538" t="s">
        <v>93</v>
      </c>
      <c r="C3538" t="s">
        <v>103</v>
      </c>
      <c r="D3538" s="8">
        <v>41.79</v>
      </c>
    </row>
    <row r="3539" spans="1:4" x14ac:dyDescent="0.45">
      <c r="A3539" s="7">
        <v>46148</v>
      </c>
      <c r="B3539" t="s">
        <v>95</v>
      </c>
      <c r="C3539" t="s">
        <v>102</v>
      </c>
      <c r="D3539" s="8">
        <v>258.52</v>
      </c>
    </row>
    <row r="3540" spans="1:4" x14ac:dyDescent="0.45">
      <c r="A3540" s="7">
        <v>45778</v>
      </c>
      <c r="B3540" t="s">
        <v>97</v>
      </c>
      <c r="C3540" t="s">
        <v>101</v>
      </c>
      <c r="D3540" s="8">
        <v>-100.38</v>
      </c>
    </row>
    <row r="3541" spans="1:4" x14ac:dyDescent="0.45">
      <c r="A3541" s="7">
        <v>46045</v>
      </c>
      <c r="B3541" t="s">
        <v>93</v>
      </c>
      <c r="C3541" t="s">
        <v>106</v>
      </c>
      <c r="D3541" s="8">
        <v>153.22999999999999</v>
      </c>
    </row>
    <row r="3542" spans="1:4" x14ac:dyDescent="0.45">
      <c r="A3542" s="7">
        <v>45382</v>
      </c>
      <c r="B3542" t="s">
        <v>95</v>
      </c>
      <c r="C3542" t="s">
        <v>109</v>
      </c>
      <c r="D3542" s="8">
        <v>340.47</v>
      </c>
    </row>
    <row r="3543" spans="1:4" x14ac:dyDescent="0.45">
      <c r="A3543" s="7">
        <v>45688</v>
      </c>
      <c r="B3543" t="s">
        <v>97</v>
      </c>
      <c r="C3543" t="s">
        <v>101</v>
      </c>
      <c r="D3543" s="8">
        <v>255.74</v>
      </c>
    </row>
    <row r="3544" spans="1:4" x14ac:dyDescent="0.45">
      <c r="A3544" s="7">
        <v>45398</v>
      </c>
      <c r="B3544" t="s">
        <v>97</v>
      </c>
      <c r="C3544" t="s">
        <v>104</v>
      </c>
      <c r="D3544" s="8">
        <v>339.02</v>
      </c>
    </row>
    <row r="3545" spans="1:4" x14ac:dyDescent="0.45">
      <c r="A3545" s="7">
        <v>46132</v>
      </c>
      <c r="B3545" t="s">
        <v>93</v>
      </c>
      <c r="C3545" t="s">
        <v>94</v>
      </c>
      <c r="D3545" s="8">
        <v>-84.38</v>
      </c>
    </row>
    <row r="3546" spans="1:4" x14ac:dyDescent="0.45">
      <c r="A3546" s="7">
        <v>45340</v>
      </c>
      <c r="B3546" t="s">
        <v>95</v>
      </c>
      <c r="C3546" t="s">
        <v>109</v>
      </c>
      <c r="D3546" s="8">
        <v>319.69</v>
      </c>
    </row>
    <row r="3547" spans="1:4" x14ac:dyDescent="0.45">
      <c r="A3547" s="7">
        <v>45342</v>
      </c>
      <c r="B3547" t="s">
        <v>97</v>
      </c>
      <c r="C3547" t="s">
        <v>107</v>
      </c>
      <c r="D3547" s="8">
        <v>370.96</v>
      </c>
    </row>
    <row r="3548" spans="1:4" x14ac:dyDescent="0.45">
      <c r="A3548" s="7">
        <v>45635</v>
      </c>
      <c r="B3548" t="s">
        <v>95</v>
      </c>
      <c r="C3548" t="s">
        <v>108</v>
      </c>
      <c r="D3548" s="8">
        <v>390.18</v>
      </c>
    </row>
    <row r="3549" spans="1:4" x14ac:dyDescent="0.45">
      <c r="A3549" s="7">
        <v>45526</v>
      </c>
      <c r="B3549" t="s">
        <v>93</v>
      </c>
      <c r="C3549" t="s">
        <v>94</v>
      </c>
      <c r="D3549" s="8">
        <v>2.04</v>
      </c>
    </row>
    <row r="3550" spans="1:4" x14ac:dyDescent="0.45">
      <c r="A3550" s="7">
        <v>45415</v>
      </c>
      <c r="B3550" t="s">
        <v>93</v>
      </c>
      <c r="C3550" t="s">
        <v>106</v>
      </c>
      <c r="D3550" s="8">
        <v>39.49</v>
      </c>
    </row>
    <row r="3551" spans="1:4" x14ac:dyDescent="0.45">
      <c r="A3551" s="7">
        <v>46170</v>
      </c>
      <c r="B3551" t="s">
        <v>93</v>
      </c>
      <c r="C3551" t="s">
        <v>100</v>
      </c>
      <c r="D3551" s="8">
        <v>46.29</v>
      </c>
    </row>
    <row r="3552" spans="1:4" x14ac:dyDescent="0.45">
      <c r="A3552" s="7">
        <v>45873</v>
      </c>
      <c r="B3552" t="s">
        <v>97</v>
      </c>
      <c r="C3552" t="s">
        <v>98</v>
      </c>
      <c r="D3552" s="8">
        <v>302.94</v>
      </c>
    </row>
    <row r="3553" spans="1:4" x14ac:dyDescent="0.45">
      <c r="A3553" s="7">
        <v>45638</v>
      </c>
      <c r="B3553" t="s">
        <v>95</v>
      </c>
      <c r="C3553" t="s">
        <v>108</v>
      </c>
      <c r="D3553" s="8">
        <v>263.99</v>
      </c>
    </row>
    <row r="3554" spans="1:4" x14ac:dyDescent="0.45">
      <c r="A3554" s="7">
        <v>45371</v>
      </c>
      <c r="B3554" t="s">
        <v>95</v>
      </c>
      <c r="C3554" t="s">
        <v>105</v>
      </c>
      <c r="D3554" s="8">
        <v>-108.24</v>
      </c>
    </row>
    <row r="3555" spans="1:4" x14ac:dyDescent="0.45">
      <c r="A3555" s="7">
        <v>45803</v>
      </c>
      <c r="B3555" t="s">
        <v>93</v>
      </c>
      <c r="C3555" t="s">
        <v>103</v>
      </c>
      <c r="D3555" s="8">
        <v>385.12</v>
      </c>
    </row>
    <row r="3556" spans="1:4" x14ac:dyDescent="0.45">
      <c r="A3556" s="7">
        <v>46066</v>
      </c>
      <c r="B3556" t="s">
        <v>93</v>
      </c>
      <c r="C3556" t="s">
        <v>106</v>
      </c>
      <c r="D3556" s="8">
        <v>421.73</v>
      </c>
    </row>
    <row r="3557" spans="1:4" x14ac:dyDescent="0.45">
      <c r="A3557" s="7">
        <v>45499</v>
      </c>
      <c r="B3557" t="s">
        <v>93</v>
      </c>
      <c r="C3557" t="s">
        <v>103</v>
      </c>
      <c r="D3557" s="8">
        <v>18.2</v>
      </c>
    </row>
    <row r="3558" spans="1:4" x14ac:dyDescent="0.45">
      <c r="A3558" s="7">
        <v>46141</v>
      </c>
      <c r="B3558" t="s">
        <v>97</v>
      </c>
      <c r="C3558" t="s">
        <v>101</v>
      </c>
      <c r="D3558" s="8">
        <v>69.62</v>
      </c>
    </row>
    <row r="3559" spans="1:4" x14ac:dyDescent="0.45">
      <c r="A3559" s="7">
        <v>46159</v>
      </c>
      <c r="B3559" t="s">
        <v>93</v>
      </c>
      <c r="C3559" t="s">
        <v>103</v>
      </c>
      <c r="D3559" s="8">
        <v>358.71</v>
      </c>
    </row>
    <row r="3560" spans="1:4" x14ac:dyDescent="0.45">
      <c r="A3560" s="7">
        <v>45815</v>
      </c>
      <c r="B3560" t="s">
        <v>93</v>
      </c>
      <c r="C3560" t="s">
        <v>94</v>
      </c>
      <c r="D3560" s="8">
        <v>419.05</v>
      </c>
    </row>
    <row r="3561" spans="1:4" x14ac:dyDescent="0.45">
      <c r="A3561" s="7">
        <v>45492</v>
      </c>
      <c r="B3561" t="s">
        <v>97</v>
      </c>
      <c r="C3561" t="s">
        <v>101</v>
      </c>
      <c r="D3561" s="8">
        <v>37.22</v>
      </c>
    </row>
    <row r="3562" spans="1:4" x14ac:dyDescent="0.45">
      <c r="A3562" s="7">
        <v>45688</v>
      </c>
      <c r="B3562" t="s">
        <v>93</v>
      </c>
      <c r="C3562" t="s">
        <v>100</v>
      </c>
      <c r="D3562" s="8">
        <v>247.21</v>
      </c>
    </row>
    <row r="3563" spans="1:4" x14ac:dyDescent="0.45">
      <c r="A3563" s="7">
        <v>45339</v>
      </c>
      <c r="B3563" t="s">
        <v>93</v>
      </c>
      <c r="C3563" t="s">
        <v>94</v>
      </c>
      <c r="D3563" s="8">
        <v>448.65</v>
      </c>
    </row>
    <row r="3564" spans="1:4" x14ac:dyDescent="0.45">
      <c r="A3564" s="7">
        <v>45690</v>
      </c>
      <c r="B3564" t="s">
        <v>97</v>
      </c>
      <c r="C3564" t="s">
        <v>104</v>
      </c>
      <c r="D3564" s="8">
        <v>-128.62</v>
      </c>
    </row>
    <row r="3565" spans="1:4" x14ac:dyDescent="0.45">
      <c r="A3565" s="7">
        <v>45686</v>
      </c>
      <c r="B3565" t="s">
        <v>97</v>
      </c>
      <c r="C3565" t="s">
        <v>104</v>
      </c>
      <c r="D3565" s="8">
        <v>142.85</v>
      </c>
    </row>
    <row r="3566" spans="1:4" x14ac:dyDescent="0.45">
      <c r="A3566" s="7">
        <v>45582</v>
      </c>
      <c r="B3566" t="s">
        <v>93</v>
      </c>
      <c r="C3566" t="s">
        <v>100</v>
      </c>
      <c r="D3566" s="8">
        <v>348.61</v>
      </c>
    </row>
    <row r="3567" spans="1:4" x14ac:dyDescent="0.45">
      <c r="A3567" s="7">
        <v>45616</v>
      </c>
      <c r="B3567" t="s">
        <v>93</v>
      </c>
      <c r="C3567" t="s">
        <v>106</v>
      </c>
      <c r="D3567" s="8">
        <v>198.91</v>
      </c>
    </row>
    <row r="3568" spans="1:4" x14ac:dyDescent="0.45">
      <c r="A3568" s="7">
        <v>45798</v>
      </c>
      <c r="B3568" t="s">
        <v>93</v>
      </c>
      <c r="C3568" t="s">
        <v>94</v>
      </c>
      <c r="D3568" s="8">
        <v>342.47</v>
      </c>
    </row>
    <row r="3569" spans="1:4" x14ac:dyDescent="0.45">
      <c r="A3569" s="7">
        <v>46185</v>
      </c>
      <c r="B3569" t="s">
        <v>93</v>
      </c>
      <c r="C3569" t="s">
        <v>100</v>
      </c>
      <c r="D3569" s="8">
        <v>271.64</v>
      </c>
    </row>
    <row r="3570" spans="1:4" x14ac:dyDescent="0.45">
      <c r="A3570" s="7">
        <v>45324</v>
      </c>
      <c r="B3570" t="s">
        <v>95</v>
      </c>
      <c r="C3570" t="s">
        <v>96</v>
      </c>
      <c r="D3570" s="8">
        <v>200.38</v>
      </c>
    </row>
    <row r="3571" spans="1:4" x14ac:dyDescent="0.45">
      <c r="A3571" s="7">
        <v>45938</v>
      </c>
      <c r="B3571" t="s">
        <v>95</v>
      </c>
      <c r="C3571" t="s">
        <v>102</v>
      </c>
      <c r="D3571" s="8">
        <v>-84.44</v>
      </c>
    </row>
    <row r="3572" spans="1:4" x14ac:dyDescent="0.45">
      <c r="A3572" s="7">
        <v>46073</v>
      </c>
      <c r="B3572" t="s">
        <v>97</v>
      </c>
      <c r="C3572" t="s">
        <v>107</v>
      </c>
      <c r="D3572" s="8">
        <v>282.76</v>
      </c>
    </row>
    <row r="3573" spans="1:4" x14ac:dyDescent="0.45">
      <c r="A3573" s="7">
        <v>46008</v>
      </c>
      <c r="B3573" t="s">
        <v>97</v>
      </c>
      <c r="C3573" t="s">
        <v>104</v>
      </c>
      <c r="D3573" s="8">
        <v>143.65</v>
      </c>
    </row>
    <row r="3574" spans="1:4" x14ac:dyDescent="0.45">
      <c r="A3574" s="7">
        <v>46157</v>
      </c>
      <c r="B3574" t="s">
        <v>95</v>
      </c>
      <c r="C3574" t="s">
        <v>109</v>
      </c>
      <c r="D3574" s="8">
        <v>428.27</v>
      </c>
    </row>
    <row r="3575" spans="1:4" x14ac:dyDescent="0.45">
      <c r="A3575" s="7">
        <v>45714</v>
      </c>
      <c r="B3575" t="s">
        <v>97</v>
      </c>
      <c r="C3575" t="s">
        <v>104</v>
      </c>
      <c r="D3575" s="8">
        <v>3.58</v>
      </c>
    </row>
    <row r="3576" spans="1:4" x14ac:dyDescent="0.45">
      <c r="A3576" s="7">
        <v>46145</v>
      </c>
      <c r="B3576" t="s">
        <v>97</v>
      </c>
      <c r="C3576" t="s">
        <v>101</v>
      </c>
      <c r="D3576" s="8">
        <v>357.85</v>
      </c>
    </row>
    <row r="3577" spans="1:4" x14ac:dyDescent="0.45">
      <c r="A3577" s="7">
        <v>45676</v>
      </c>
      <c r="B3577" t="s">
        <v>97</v>
      </c>
      <c r="C3577" t="s">
        <v>104</v>
      </c>
      <c r="D3577" s="8">
        <v>351.62</v>
      </c>
    </row>
    <row r="3578" spans="1:4" x14ac:dyDescent="0.45">
      <c r="A3578" s="7">
        <v>46020</v>
      </c>
      <c r="B3578" t="s">
        <v>97</v>
      </c>
      <c r="C3578" t="s">
        <v>101</v>
      </c>
      <c r="D3578" s="8">
        <v>396.76</v>
      </c>
    </row>
    <row r="3579" spans="1:4" x14ac:dyDescent="0.45">
      <c r="A3579" s="7">
        <v>45930</v>
      </c>
      <c r="B3579" t="s">
        <v>95</v>
      </c>
      <c r="C3579" t="s">
        <v>96</v>
      </c>
      <c r="D3579" s="8">
        <v>329.16</v>
      </c>
    </row>
    <row r="3580" spans="1:4" x14ac:dyDescent="0.45">
      <c r="A3580" s="7">
        <v>45488</v>
      </c>
      <c r="B3580" t="s">
        <v>95</v>
      </c>
      <c r="C3580" t="s">
        <v>96</v>
      </c>
      <c r="D3580" s="8">
        <v>382.5</v>
      </c>
    </row>
    <row r="3581" spans="1:4" x14ac:dyDescent="0.45">
      <c r="A3581" s="7">
        <v>45352</v>
      </c>
      <c r="B3581" t="s">
        <v>95</v>
      </c>
      <c r="C3581" t="s">
        <v>109</v>
      </c>
      <c r="D3581" s="8">
        <v>191.47</v>
      </c>
    </row>
    <row r="3582" spans="1:4" x14ac:dyDescent="0.45">
      <c r="A3582" s="7">
        <v>45408</v>
      </c>
      <c r="B3582" t="s">
        <v>97</v>
      </c>
      <c r="C3582" t="s">
        <v>107</v>
      </c>
      <c r="D3582" s="8">
        <v>261.3</v>
      </c>
    </row>
    <row r="3583" spans="1:4" x14ac:dyDescent="0.45">
      <c r="A3583" s="7">
        <v>45889</v>
      </c>
      <c r="B3583" t="s">
        <v>95</v>
      </c>
      <c r="C3583" t="s">
        <v>99</v>
      </c>
      <c r="D3583" s="8">
        <v>-15.77</v>
      </c>
    </row>
    <row r="3584" spans="1:4" x14ac:dyDescent="0.45">
      <c r="A3584" s="7">
        <v>45961</v>
      </c>
      <c r="B3584" t="s">
        <v>97</v>
      </c>
      <c r="C3584" t="s">
        <v>104</v>
      </c>
      <c r="D3584" s="8">
        <v>355.15</v>
      </c>
    </row>
    <row r="3585" spans="1:4" x14ac:dyDescent="0.45">
      <c r="A3585" s="7">
        <v>45979</v>
      </c>
      <c r="B3585" t="s">
        <v>97</v>
      </c>
      <c r="C3585" t="s">
        <v>107</v>
      </c>
      <c r="D3585" s="8">
        <v>390.13</v>
      </c>
    </row>
    <row r="3586" spans="1:4" x14ac:dyDescent="0.45">
      <c r="A3586" s="7">
        <v>45302</v>
      </c>
      <c r="B3586" t="s">
        <v>93</v>
      </c>
      <c r="C3586" t="s">
        <v>103</v>
      </c>
      <c r="D3586" s="8">
        <v>261.31</v>
      </c>
    </row>
    <row r="3587" spans="1:4" x14ac:dyDescent="0.45">
      <c r="A3587" s="7">
        <v>46105</v>
      </c>
      <c r="B3587" t="s">
        <v>95</v>
      </c>
      <c r="C3587" t="s">
        <v>109</v>
      </c>
      <c r="D3587" s="8">
        <v>292.54000000000002</v>
      </c>
    </row>
    <row r="3588" spans="1:4" x14ac:dyDescent="0.45">
      <c r="A3588" s="7">
        <v>46030</v>
      </c>
      <c r="B3588" t="s">
        <v>93</v>
      </c>
      <c r="C3588" t="s">
        <v>94</v>
      </c>
      <c r="D3588" s="8">
        <v>42.08</v>
      </c>
    </row>
    <row r="3589" spans="1:4" x14ac:dyDescent="0.45">
      <c r="A3589" s="7">
        <v>45938</v>
      </c>
      <c r="B3589" t="s">
        <v>95</v>
      </c>
      <c r="C3589" t="s">
        <v>105</v>
      </c>
      <c r="D3589" s="8">
        <v>25.2</v>
      </c>
    </row>
    <row r="3590" spans="1:4" x14ac:dyDescent="0.45">
      <c r="A3590" s="7">
        <v>46086</v>
      </c>
      <c r="B3590" t="s">
        <v>97</v>
      </c>
      <c r="C3590" t="s">
        <v>101</v>
      </c>
      <c r="D3590" s="8">
        <v>64.92</v>
      </c>
    </row>
    <row r="3591" spans="1:4" x14ac:dyDescent="0.45">
      <c r="A3591" s="7">
        <v>46055</v>
      </c>
      <c r="B3591" t="s">
        <v>93</v>
      </c>
      <c r="C3591" t="s">
        <v>94</v>
      </c>
      <c r="D3591" s="8">
        <v>239.83</v>
      </c>
    </row>
    <row r="3592" spans="1:4" x14ac:dyDescent="0.45">
      <c r="A3592" s="7">
        <v>45478</v>
      </c>
      <c r="B3592" t="s">
        <v>93</v>
      </c>
      <c r="C3592" t="s">
        <v>94</v>
      </c>
      <c r="D3592" s="8">
        <v>306.42</v>
      </c>
    </row>
    <row r="3593" spans="1:4" x14ac:dyDescent="0.45">
      <c r="A3593" s="7">
        <v>45792</v>
      </c>
      <c r="B3593" t="s">
        <v>97</v>
      </c>
      <c r="C3593" t="s">
        <v>104</v>
      </c>
      <c r="D3593" s="8">
        <v>256.69</v>
      </c>
    </row>
    <row r="3594" spans="1:4" x14ac:dyDescent="0.45">
      <c r="A3594" s="7">
        <v>45594</v>
      </c>
      <c r="B3594" t="s">
        <v>93</v>
      </c>
      <c r="C3594" t="s">
        <v>94</v>
      </c>
      <c r="D3594" s="8">
        <v>-111.77</v>
      </c>
    </row>
    <row r="3595" spans="1:4" x14ac:dyDescent="0.45">
      <c r="A3595" s="7">
        <v>45402</v>
      </c>
      <c r="B3595" t="s">
        <v>97</v>
      </c>
      <c r="C3595" t="s">
        <v>104</v>
      </c>
      <c r="D3595" s="8">
        <v>119.56</v>
      </c>
    </row>
    <row r="3596" spans="1:4" x14ac:dyDescent="0.45">
      <c r="A3596" s="7">
        <v>46119</v>
      </c>
      <c r="B3596" t="s">
        <v>97</v>
      </c>
      <c r="C3596" t="s">
        <v>107</v>
      </c>
      <c r="D3596" s="8">
        <v>144.53</v>
      </c>
    </row>
    <row r="3597" spans="1:4" x14ac:dyDescent="0.45">
      <c r="A3597" s="7">
        <v>46019</v>
      </c>
      <c r="B3597" t="s">
        <v>97</v>
      </c>
      <c r="C3597" t="s">
        <v>107</v>
      </c>
      <c r="D3597" s="8">
        <v>376.64</v>
      </c>
    </row>
    <row r="3598" spans="1:4" x14ac:dyDescent="0.45">
      <c r="A3598" s="7">
        <v>45981</v>
      </c>
      <c r="B3598" t="s">
        <v>97</v>
      </c>
      <c r="C3598" t="s">
        <v>101</v>
      </c>
      <c r="D3598" s="8">
        <v>22.15</v>
      </c>
    </row>
    <row r="3599" spans="1:4" x14ac:dyDescent="0.45">
      <c r="A3599" s="7">
        <v>45328</v>
      </c>
      <c r="B3599" t="s">
        <v>93</v>
      </c>
      <c r="C3599" t="s">
        <v>103</v>
      </c>
      <c r="D3599" s="8">
        <v>419.61</v>
      </c>
    </row>
    <row r="3600" spans="1:4" x14ac:dyDescent="0.45">
      <c r="A3600" s="7">
        <v>45733</v>
      </c>
      <c r="B3600" t="s">
        <v>95</v>
      </c>
      <c r="C3600" t="s">
        <v>96</v>
      </c>
      <c r="D3600" s="8">
        <v>247.56</v>
      </c>
    </row>
    <row r="3601" spans="1:4" x14ac:dyDescent="0.45">
      <c r="A3601" s="7">
        <v>45716</v>
      </c>
      <c r="B3601" t="s">
        <v>95</v>
      </c>
      <c r="C3601" t="s">
        <v>102</v>
      </c>
      <c r="D3601" s="8">
        <v>155.54</v>
      </c>
    </row>
    <row r="3602" spans="1:4" x14ac:dyDescent="0.45">
      <c r="A3602" s="7">
        <v>45896</v>
      </c>
      <c r="B3602" t="s">
        <v>93</v>
      </c>
      <c r="C3602" t="s">
        <v>106</v>
      </c>
      <c r="D3602" s="8">
        <v>47.63</v>
      </c>
    </row>
    <row r="3603" spans="1:4" x14ac:dyDescent="0.45">
      <c r="A3603" s="7">
        <v>45634</v>
      </c>
      <c r="B3603" t="s">
        <v>97</v>
      </c>
      <c r="C3603" t="s">
        <v>104</v>
      </c>
      <c r="D3603" s="8">
        <v>411.51</v>
      </c>
    </row>
    <row r="3604" spans="1:4" x14ac:dyDescent="0.45">
      <c r="A3604" s="7">
        <v>45479</v>
      </c>
      <c r="B3604" t="s">
        <v>95</v>
      </c>
      <c r="C3604" t="s">
        <v>109</v>
      </c>
      <c r="D3604" s="8">
        <v>65.430000000000007</v>
      </c>
    </row>
    <row r="3605" spans="1:4" x14ac:dyDescent="0.45">
      <c r="A3605" s="7">
        <v>45750</v>
      </c>
      <c r="B3605" t="s">
        <v>95</v>
      </c>
      <c r="C3605" t="s">
        <v>96</v>
      </c>
      <c r="D3605" s="8">
        <v>245.5</v>
      </c>
    </row>
    <row r="3606" spans="1:4" x14ac:dyDescent="0.45">
      <c r="A3606" s="7">
        <v>46079</v>
      </c>
      <c r="B3606" t="s">
        <v>95</v>
      </c>
      <c r="C3606" t="s">
        <v>99</v>
      </c>
      <c r="D3606" s="8">
        <v>118.85</v>
      </c>
    </row>
    <row r="3607" spans="1:4" x14ac:dyDescent="0.45">
      <c r="A3607" s="7">
        <v>45855</v>
      </c>
      <c r="B3607" t="s">
        <v>93</v>
      </c>
      <c r="C3607" t="s">
        <v>103</v>
      </c>
      <c r="D3607" s="8">
        <v>367.04</v>
      </c>
    </row>
    <row r="3608" spans="1:4" x14ac:dyDescent="0.45">
      <c r="A3608" s="7">
        <v>46060</v>
      </c>
      <c r="B3608" t="s">
        <v>95</v>
      </c>
      <c r="C3608" t="s">
        <v>109</v>
      </c>
      <c r="D3608" s="8">
        <v>76.930000000000007</v>
      </c>
    </row>
    <row r="3609" spans="1:4" x14ac:dyDescent="0.45">
      <c r="A3609" s="7">
        <v>45917</v>
      </c>
      <c r="B3609" t="s">
        <v>95</v>
      </c>
      <c r="C3609" t="s">
        <v>102</v>
      </c>
      <c r="D3609" s="8">
        <v>208.65</v>
      </c>
    </row>
    <row r="3610" spans="1:4" x14ac:dyDescent="0.45">
      <c r="A3610" s="7">
        <v>45481</v>
      </c>
      <c r="B3610" t="s">
        <v>93</v>
      </c>
      <c r="C3610" t="s">
        <v>100</v>
      </c>
      <c r="D3610" s="8">
        <v>402.12</v>
      </c>
    </row>
    <row r="3611" spans="1:4" x14ac:dyDescent="0.45">
      <c r="A3611" s="7">
        <v>46129</v>
      </c>
      <c r="B3611" t="s">
        <v>93</v>
      </c>
      <c r="C3611" t="s">
        <v>106</v>
      </c>
      <c r="D3611" s="8">
        <v>-91.07</v>
      </c>
    </row>
    <row r="3612" spans="1:4" x14ac:dyDescent="0.45">
      <c r="A3612" s="7">
        <v>46164</v>
      </c>
      <c r="B3612" t="s">
        <v>97</v>
      </c>
      <c r="C3612" t="s">
        <v>101</v>
      </c>
      <c r="D3612" s="8">
        <v>-74.73</v>
      </c>
    </row>
    <row r="3613" spans="1:4" x14ac:dyDescent="0.45">
      <c r="A3613" s="7">
        <v>45355</v>
      </c>
      <c r="B3613" t="s">
        <v>95</v>
      </c>
      <c r="C3613" t="s">
        <v>105</v>
      </c>
      <c r="D3613" s="8">
        <v>31.01</v>
      </c>
    </row>
    <row r="3614" spans="1:4" x14ac:dyDescent="0.45">
      <c r="A3614" s="7">
        <v>45558</v>
      </c>
      <c r="B3614" t="s">
        <v>97</v>
      </c>
      <c r="C3614" t="s">
        <v>104</v>
      </c>
      <c r="D3614" s="8">
        <v>294.77999999999997</v>
      </c>
    </row>
    <row r="3615" spans="1:4" x14ac:dyDescent="0.45">
      <c r="A3615" s="7">
        <v>45977</v>
      </c>
      <c r="B3615" t="s">
        <v>93</v>
      </c>
      <c r="C3615" t="s">
        <v>106</v>
      </c>
      <c r="D3615" s="8">
        <v>-30.47</v>
      </c>
    </row>
    <row r="3616" spans="1:4" x14ac:dyDescent="0.45">
      <c r="A3616" s="7">
        <v>45572</v>
      </c>
      <c r="B3616" t="s">
        <v>97</v>
      </c>
      <c r="C3616" t="s">
        <v>98</v>
      </c>
      <c r="D3616" s="8">
        <v>23.3</v>
      </c>
    </row>
    <row r="3617" spans="1:4" x14ac:dyDescent="0.45">
      <c r="A3617" s="7">
        <v>45383</v>
      </c>
      <c r="B3617" t="s">
        <v>93</v>
      </c>
      <c r="C3617" t="s">
        <v>94</v>
      </c>
      <c r="D3617" s="8">
        <v>20.239999999999998</v>
      </c>
    </row>
    <row r="3618" spans="1:4" x14ac:dyDescent="0.45">
      <c r="A3618" s="7">
        <v>45564</v>
      </c>
      <c r="B3618" t="s">
        <v>93</v>
      </c>
      <c r="C3618" t="s">
        <v>100</v>
      </c>
      <c r="D3618" s="8">
        <v>100.69</v>
      </c>
    </row>
    <row r="3619" spans="1:4" x14ac:dyDescent="0.45">
      <c r="A3619" s="7">
        <v>45641</v>
      </c>
      <c r="B3619" t="s">
        <v>95</v>
      </c>
      <c r="C3619" t="s">
        <v>109</v>
      </c>
      <c r="D3619" s="8">
        <v>-36.799999999999997</v>
      </c>
    </row>
    <row r="3620" spans="1:4" x14ac:dyDescent="0.45">
      <c r="A3620" s="7">
        <v>46096</v>
      </c>
      <c r="B3620" t="s">
        <v>93</v>
      </c>
      <c r="C3620" t="s">
        <v>94</v>
      </c>
      <c r="D3620" s="8">
        <v>187.03</v>
      </c>
    </row>
    <row r="3621" spans="1:4" x14ac:dyDescent="0.45">
      <c r="A3621" s="7">
        <v>45854</v>
      </c>
      <c r="B3621" t="s">
        <v>95</v>
      </c>
      <c r="C3621" t="s">
        <v>109</v>
      </c>
      <c r="D3621" s="8">
        <v>332.34</v>
      </c>
    </row>
    <row r="3622" spans="1:4" x14ac:dyDescent="0.45">
      <c r="A3622" s="7">
        <v>45314</v>
      </c>
      <c r="B3622" t="s">
        <v>95</v>
      </c>
      <c r="C3622" t="s">
        <v>108</v>
      </c>
      <c r="D3622" s="8">
        <v>-135.05000000000001</v>
      </c>
    </row>
    <row r="3623" spans="1:4" x14ac:dyDescent="0.45">
      <c r="A3623" s="7">
        <v>46192</v>
      </c>
      <c r="B3623" t="s">
        <v>95</v>
      </c>
      <c r="C3623" t="s">
        <v>105</v>
      </c>
      <c r="D3623" s="8">
        <v>14.93</v>
      </c>
    </row>
    <row r="3624" spans="1:4" x14ac:dyDescent="0.45">
      <c r="A3624" s="7">
        <v>45938</v>
      </c>
      <c r="B3624" t="s">
        <v>97</v>
      </c>
      <c r="C3624" t="s">
        <v>98</v>
      </c>
      <c r="D3624" s="8">
        <v>-85.08</v>
      </c>
    </row>
    <row r="3625" spans="1:4" x14ac:dyDescent="0.45">
      <c r="A3625" s="7">
        <v>45292</v>
      </c>
      <c r="B3625" t="s">
        <v>97</v>
      </c>
      <c r="C3625" t="s">
        <v>98</v>
      </c>
      <c r="D3625" s="8">
        <v>-98.4</v>
      </c>
    </row>
    <row r="3626" spans="1:4" x14ac:dyDescent="0.45">
      <c r="A3626" s="7">
        <v>46024</v>
      </c>
      <c r="B3626" t="s">
        <v>97</v>
      </c>
      <c r="C3626" t="s">
        <v>104</v>
      </c>
      <c r="D3626" s="8">
        <v>-21.52</v>
      </c>
    </row>
    <row r="3627" spans="1:4" x14ac:dyDescent="0.45">
      <c r="A3627" s="7">
        <v>45845</v>
      </c>
      <c r="B3627" t="s">
        <v>95</v>
      </c>
      <c r="C3627" t="s">
        <v>108</v>
      </c>
      <c r="D3627" s="8">
        <v>324.73</v>
      </c>
    </row>
    <row r="3628" spans="1:4" x14ac:dyDescent="0.45">
      <c r="A3628" s="7">
        <v>45945</v>
      </c>
      <c r="B3628" t="s">
        <v>97</v>
      </c>
      <c r="C3628" t="s">
        <v>104</v>
      </c>
      <c r="D3628" s="8">
        <v>415.08</v>
      </c>
    </row>
    <row r="3629" spans="1:4" x14ac:dyDescent="0.45">
      <c r="A3629" s="7">
        <v>45323</v>
      </c>
      <c r="B3629" t="s">
        <v>95</v>
      </c>
      <c r="C3629" t="s">
        <v>105</v>
      </c>
      <c r="D3629" s="8">
        <v>-116.36</v>
      </c>
    </row>
    <row r="3630" spans="1:4" x14ac:dyDescent="0.45">
      <c r="A3630" s="7">
        <v>45624</v>
      </c>
      <c r="B3630" t="s">
        <v>93</v>
      </c>
      <c r="C3630" t="s">
        <v>100</v>
      </c>
      <c r="D3630" s="8">
        <v>347.79</v>
      </c>
    </row>
    <row r="3631" spans="1:4" x14ac:dyDescent="0.45">
      <c r="A3631" s="7">
        <v>45400</v>
      </c>
      <c r="B3631" t="s">
        <v>93</v>
      </c>
      <c r="C3631" t="s">
        <v>103</v>
      </c>
      <c r="D3631" s="8">
        <v>11.93</v>
      </c>
    </row>
    <row r="3632" spans="1:4" x14ac:dyDescent="0.45">
      <c r="A3632" s="7">
        <v>46071</v>
      </c>
      <c r="B3632" t="s">
        <v>97</v>
      </c>
      <c r="C3632" t="s">
        <v>98</v>
      </c>
      <c r="D3632" s="8">
        <v>53.98</v>
      </c>
    </row>
    <row r="3633" spans="1:4" x14ac:dyDescent="0.45">
      <c r="A3633" s="7">
        <v>45880</v>
      </c>
      <c r="B3633" t="s">
        <v>97</v>
      </c>
      <c r="C3633" t="s">
        <v>104</v>
      </c>
      <c r="D3633" s="8">
        <v>149.19</v>
      </c>
    </row>
    <row r="3634" spans="1:4" x14ac:dyDescent="0.45">
      <c r="A3634" s="7">
        <v>45940</v>
      </c>
      <c r="B3634" t="s">
        <v>97</v>
      </c>
      <c r="C3634" t="s">
        <v>107</v>
      </c>
      <c r="D3634" s="8">
        <v>398.17</v>
      </c>
    </row>
    <row r="3635" spans="1:4" x14ac:dyDescent="0.45">
      <c r="A3635" s="7">
        <v>45620</v>
      </c>
      <c r="B3635" t="s">
        <v>95</v>
      </c>
      <c r="C3635" t="s">
        <v>109</v>
      </c>
      <c r="D3635" s="8">
        <v>193.35</v>
      </c>
    </row>
    <row r="3636" spans="1:4" x14ac:dyDescent="0.45">
      <c r="A3636" s="7">
        <v>45683</v>
      </c>
      <c r="B3636" t="s">
        <v>93</v>
      </c>
      <c r="C3636" t="s">
        <v>106</v>
      </c>
      <c r="D3636" s="8">
        <v>23.47</v>
      </c>
    </row>
    <row r="3637" spans="1:4" x14ac:dyDescent="0.45">
      <c r="A3637" s="7">
        <v>45936</v>
      </c>
      <c r="B3637" t="s">
        <v>97</v>
      </c>
      <c r="C3637" t="s">
        <v>101</v>
      </c>
      <c r="D3637" s="8">
        <v>21.66</v>
      </c>
    </row>
    <row r="3638" spans="1:4" x14ac:dyDescent="0.45">
      <c r="A3638" s="7">
        <v>45394</v>
      </c>
      <c r="B3638" t="s">
        <v>97</v>
      </c>
      <c r="C3638" t="s">
        <v>107</v>
      </c>
      <c r="D3638" s="8">
        <v>105.06</v>
      </c>
    </row>
    <row r="3639" spans="1:4" x14ac:dyDescent="0.45">
      <c r="A3639" s="7">
        <v>45380</v>
      </c>
      <c r="B3639" t="s">
        <v>93</v>
      </c>
      <c r="C3639" t="s">
        <v>100</v>
      </c>
      <c r="D3639" s="8">
        <v>-15.15</v>
      </c>
    </row>
    <row r="3640" spans="1:4" x14ac:dyDescent="0.45">
      <c r="A3640" s="7">
        <v>45786</v>
      </c>
      <c r="B3640" t="s">
        <v>97</v>
      </c>
      <c r="C3640" t="s">
        <v>98</v>
      </c>
      <c r="D3640" s="8">
        <v>77.430000000000007</v>
      </c>
    </row>
    <row r="3641" spans="1:4" x14ac:dyDescent="0.45">
      <c r="A3641" s="7">
        <v>45980</v>
      </c>
      <c r="B3641" t="s">
        <v>93</v>
      </c>
      <c r="C3641" t="s">
        <v>100</v>
      </c>
      <c r="D3641" s="8">
        <v>-35.31</v>
      </c>
    </row>
    <row r="3642" spans="1:4" x14ac:dyDescent="0.45">
      <c r="A3642" s="7">
        <v>46137</v>
      </c>
      <c r="B3642" t="s">
        <v>95</v>
      </c>
      <c r="C3642" t="s">
        <v>96</v>
      </c>
      <c r="D3642" s="8">
        <v>140.28</v>
      </c>
    </row>
    <row r="3643" spans="1:4" x14ac:dyDescent="0.45">
      <c r="A3643" s="7">
        <v>45789</v>
      </c>
      <c r="B3643" t="s">
        <v>95</v>
      </c>
      <c r="C3643" t="s">
        <v>102</v>
      </c>
      <c r="D3643" s="8">
        <v>68.430000000000007</v>
      </c>
    </row>
    <row r="3644" spans="1:4" x14ac:dyDescent="0.45">
      <c r="A3644" s="7">
        <v>45456</v>
      </c>
      <c r="B3644" t="s">
        <v>95</v>
      </c>
      <c r="C3644" t="s">
        <v>102</v>
      </c>
      <c r="D3644" s="8">
        <v>41.2</v>
      </c>
    </row>
    <row r="3645" spans="1:4" x14ac:dyDescent="0.45">
      <c r="A3645" s="7">
        <v>45328</v>
      </c>
      <c r="B3645" t="s">
        <v>95</v>
      </c>
      <c r="C3645" t="s">
        <v>96</v>
      </c>
      <c r="D3645" s="8">
        <v>83.11</v>
      </c>
    </row>
    <row r="3646" spans="1:4" x14ac:dyDescent="0.45">
      <c r="A3646" s="7">
        <v>45612</v>
      </c>
      <c r="B3646" t="s">
        <v>93</v>
      </c>
      <c r="C3646" t="s">
        <v>100</v>
      </c>
      <c r="D3646" s="8">
        <v>240.78</v>
      </c>
    </row>
    <row r="3647" spans="1:4" x14ac:dyDescent="0.45">
      <c r="A3647" s="7">
        <v>45501</v>
      </c>
      <c r="B3647" t="s">
        <v>95</v>
      </c>
      <c r="C3647" t="s">
        <v>108</v>
      </c>
      <c r="D3647" s="8">
        <v>404.8</v>
      </c>
    </row>
    <row r="3648" spans="1:4" x14ac:dyDescent="0.45">
      <c r="A3648" s="7">
        <v>46164</v>
      </c>
      <c r="B3648" t="s">
        <v>97</v>
      </c>
      <c r="C3648" t="s">
        <v>101</v>
      </c>
      <c r="D3648" s="8">
        <v>-8.15</v>
      </c>
    </row>
    <row r="3649" spans="1:4" x14ac:dyDescent="0.45">
      <c r="A3649" s="7">
        <v>45474</v>
      </c>
      <c r="B3649" t="s">
        <v>97</v>
      </c>
      <c r="C3649" t="s">
        <v>98</v>
      </c>
      <c r="D3649" s="8">
        <v>2.1</v>
      </c>
    </row>
    <row r="3650" spans="1:4" x14ac:dyDescent="0.45">
      <c r="A3650" s="7">
        <v>45953</v>
      </c>
      <c r="B3650" t="s">
        <v>95</v>
      </c>
      <c r="C3650" t="s">
        <v>102</v>
      </c>
      <c r="D3650" s="8">
        <v>394.08</v>
      </c>
    </row>
    <row r="3651" spans="1:4" x14ac:dyDescent="0.45">
      <c r="A3651" s="7">
        <v>45853</v>
      </c>
      <c r="B3651" t="s">
        <v>95</v>
      </c>
      <c r="C3651" t="s">
        <v>96</v>
      </c>
      <c r="D3651" s="8">
        <v>96.81</v>
      </c>
    </row>
    <row r="3652" spans="1:4" x14ac:dyDescent="0.45">
      <c r="A3652" s="7">
        <v>45919</v>
      </c>
      <c r="B3652" t="s">
        <v>93</v>
      </c>
      <c r="C3652" t="s">
        <v>103</v>
      </c>
      <c r="D3652" s="8">
        <v>-146.12</v>
      </c>
    </row>
    <row r="3653" spans="1:4" x14ac:dyDescent="0.45">
      <c r="A3653" s="7">
        <v>46124</v>
      </c>
      <c r="B3653" t="s">
        <v>93</v>
      </c>
      <c r="C3653" t="s">
        <v>106</v>
      </c>
      <c r="D3653" s="8">
        <v>34.31</v>
      </c>
    </row>
    <row r="3654" spans="1:4" x14ac:dyDescent="0.45">
      <c r="A3654" s="7">
        <v>45780</v>
      </c>
      <c r="B3654" t="s">
        <v>93</v>
      </c>
      <c r="C3654" t="s">
        <v>94</v>
      </c>
      <c r="D3654" s="8">
        <v>-79.86</v>
      </c>
    </row>
    <row r="3655" spans="1:4" x14ac:dyDescent="0.45">
      <c r="A3655" s="7">
        <v>45655</v>
      </c>
      <c r="B3655" t="s">
        <v>95</v>
      </c>
      <c r="C3655" t="s">
        <v>102</v>
      </c>
      <c r="D3655" s="8">
        <v>178.24</v>
      </c>
    </row>
    <row r="3656" spans="1:4" x14ac:dyDescent="0.45">
      <c r="A3656" s="7">
        <v>46123</v>
      </c>
      <c r="B3656" t="s">
        <v>95</v>
      </c>
      <c r="C3656" t="s">
        <v>96</v>
      </c>
      <c r="D3656" s="8">
        <v>320.77</v>
      </c>
    </row>
    <row r="3657" spans="1:4" x14ac:dyDescent="0.45">
      <c r="A3657" s="7">
        <v>45493</v>
      </c>
      <c r="B3657" t="s">
        <v>97</v>
      </c>
      <c r="C3657" t="s">
        <v>104</v>
      </c>
      <c r="D3657" s="8">
        <v>470.54</v>
      </c>
    </row>
    <row r="3658" spans="1:4" x14ac:dyDescent="0.45">
      <c r="A3658" s="7">
        <v>45806</v>
      </c>
      <c r="B3658" t="s">
        <v>95</v>
      </c>
      <c r="C3658" t="s">
        <v>108</v>
      </c>
      <c r="D3658" s="8">
        <v>-108.41</v>
      </c>
    </row>
    <row r="3659" spans="1:4" x14ac:dyDescent="0.45">
      <c r="A3659" s="7">
        <v>46050</v>
      </c>
      <c r="B3659" t="s">
        <v>93</v>
      </c>
      <c r="C3659" t="s">
        <v>103</v>
      </c>
      <c r="D3659" s="8">
        <v>100.1</v>
      </c>
    </row>
    <row r="3660" spans="1:4" x14ac:dyDescent="0.45">
      <c r="A3660" s="7">
        <v>45955</v>
      </c>
      <c r="B3660" t="s">
        <v>93</v>
      </c>
      <c r="C3660" t="s">
        <v>103</v>
      </c>
      <c r="D3660" s="8">
        <v>426.01</v>
      </c>
    </row>
    <row r="3661" spans="1:4" x14ac:dyDescent="0.45">
      <c r="A3661" s="7">
        <v>45640</v>
      </c>
      <c r="B3661" t="s">
        <v>93</v>
      </c>
      <c r="C3661" t="s">
        <v>94</v>
      </c>
      <c r="D3661" s="8">
        <v>21.48</v>
      </c>
    </row>
    <row r="3662" spans="1:4" x14ac:dyDescent="0.45">
      <c r="A3662" s="7">
        <v>45848</v>
      </c>
      <c r="B3662" t="s">
        <v>97</v>
      </c>
      <c r="C3662" t="s">
        <v>101</v>
      </c>
      <c r="D3662" s="8">
        <v>351.68</v>
      </c>
    </row>
    <row r="3663" spans="1:4" x14ac:dyDescent="0.45">
      <c r="A3663" s="7">
        <v>45787</v>
      </c>
      <c r="B3663" t="s">
        <v>93</v>
      </c>
      <c r="C3663" t="s">
        <v>103</v>
      </c>
      <c r="D3663" s="8">
        <v>169.01</v>
      </c>
    </row>
    <row r="3664" spans="1:4" x14ac:dyDescent="0.45">
      <c r="A3664" s="7">
        <v>45808</v>
      </c>
      <c r="B3664" t="s">
        <v>95</v>
      </c>
      <c r="C3664" t="s">
        <v>105</v>
      </c>
      <c r="D3664" s="8">
        <v>291.26</v>
      </c>
    </row>
    <row r="3665" spans="1:4" x14ac:dyDescent="0.45">
      <c r="A3665" s="7">
        <v>45962</v>
      </c>
      <c r="B3665" t="s">
        <v>93</v>
      </c>
      <c r="C3665" t="s">
        <v>100</v>
      </c>
      <c r="D3665" s="8">
        <v>314.22000000000003</v>
      </c>
    </row>
    <row r="3666" spans="1:4" x14ac:dyDescent="0.45">
      <c r="A3666" s="7">
        <v>45528</v>
      </c>
      <c r="B3666" t="s">
        <v>97</v>
      </c>
      <c r="C3666" t="s">
        <v>107</v>
      </c>
      <c r="D3666" s="8">
        <v>409.18</v>
      </c>
    </row>
    <row r="3667" spans="1:4" x14ac:dyDescent="0.45">
      <c r="A3667" s="7">
        <v>45512</v>
      </c>
      <c r="B3667" t="s">
        <v>97</v>
      </c>
      <c r="C3667" t="s">
        <v>104</v>
      </c>
      <c r="D3667" s="8">
        <v>388.47</v>
      </c>
    </row>
    <row r="3668" spans="1:4" x14ac:dyDescent="0.45">
      <c r="A3668" s="7">
        <v>45666</v>
      </c>
      <c r="B3668" t="s">
        <v>97</v>
      </c>
      <c r="C3668" t="s">
        <v>98</v>
      </c>
      <c r="D3668" s="8">
        <v>294.18</v>
      </c>
    </row>
    <row r="3669" spans="1:4" x14ac:dyDescent="0.45">
      <c r="A3669" s="7">
        <v>45591</v>
      </c>
      <c r="B3669" t="s">
        <v>95</v>
      </c>
      <c r="C3669" t="s">
        <v>105</v>
      </c>
      <c r="D3669" s="8">
        <v>476.63</v>
      </c>
    </row>
    <row r="3670" spans="1:4" x14ac:dyDescent="0.45">
      <c r="A3670" s="7">
        <v>45526</v>
      </c>
      <c r="B3670" t="s">
        <v>97</v>
      </c>
      <c r="C3670" t="s">
        <v>107</v>
      </c>
      <c r="D3670" s="8">
        <v>253.7</v>
      </c>
    </row>
    <row r="3671" spans="1:4" x14ac:dyDescent="0.45">
      <c r="A3671" s="7">
        <v>45416</v>
      </c>
      <c r="B3671" t="s">
        <v>93</v>
      </c>
      <c r="C3671" t="s">
        <v>100</v>
      </c>
      <c r="D3671" s="8">
        <v>-10.42</v>
      </c>
    </row>
    <row r="3672" spans="1:4" x14ac:dyDescent="0.45">
      <c r="A3672" s="7">
        <v>45757</v>
      </c>
      <c r="B3672" t="s">
        <v>95</v>
      </c>
      <c r="C3672" t="s">
        <v>108</v>
      </c>
      <c r="D3672" s="8">
        <v>408.99</v>
      </c>
    </row>
    <row r="3673" spans="1:4" x14ac:dyDescent="0.45">
      <c r="A3673" s="7">
        <v>45911</v>
      </c>
      <c r="B3673" t="s">
        <v>97</v>
      </c>
      <c r="C3673" t="s">
        <v>104</v>
      </c>
      <c r="D3673" s="8">
        <v>-12.71</v>
      </c>
    </row>
    <row r="3674" spans="1:4" x14ac:dyDescent="0.45">
      <c r="A3674" s="7">
        <v>45987</v>
      </c>
      <c r="B3674" t="s">
        <v>97</v>
      </c>
      <c r="C3674" t="s">
        <v>107</v>
      </c>
      <c r="D3674" s="8">
        <v>161.16999999999999</v>
      </c>
    </row>
    <row r="3675" spans="1:4" x14ac:dyDescent="0.45">
      <c r="A3675" s="7">
        <v>45896</v>
      </c>
      <c r="B3675" t="s">
        <v>97</v>
      </c>
      <c r="C3675" t="s">
        <v>104</v>
      </c>
      <c r="D3675" s="8">
        <v>475.44</v>
      </c>
    </row>
    <row r="3676" spans="1:4" x14ac:dyDescent="0.45">
      <c r="A3676" s="7">
        <v>45760</v>
      </c>
      <c r="B3676" t="s">
        <v>97</v>
      </c>
      <c r="C3676" t="s">
        <v>98</v>
      </c>
      <c r="D3676" s="8">
        <v>265.41000000000003</v>
      </c>
    </row>
    <row r="3677" spans="1:4" x14ac:dyDescent="0.45">
      <c r="A3677" s="7">
        <v>46167</v>
      </c>
      <c r="B3677" t="s">
        <v>93</v>
      </c>
      <c r="C3677" t="s">
        <v>106</v>
      </c>
      <c r="D3677" s="8">
        <v>287.02</v>
      </c>
    </row>
    <row r="3678" spans="1:4" x14ac:dyDescent="0.45">
      <c r="A3678" s="7">
        <v>45557</v>
      </c>
      <c r="B3678" t="s">
        <v>97</v>
      </c>
      <c r="C3678" t="s">
        <v>104</v>
      </c>
      <c r="D3678" s="8">
        <v>335.13</v>
      </c>
    </row>
    <row r="3679" spans="1:4" x14ac:dyDescent="0.45">
      <c r="A3679" s="7">
        <v>45456</v>
      </c>
      <c r="B3679" t="s">
        <v>97</v>
      </c>
      <c r="C3679" t="s">
        <v>98</v>
      </c>
      <c r="D3679" s="8">
        <v>446.38</v>
      </c>
    </row>
    <row r="3680" spans="1:4" x14ac:dyDescent="0.45">
      <c r="A3680" s="7">
        <v>46119</v>
      </c>
      <c r="B3680" t="s">
        <v>97</v>
      </c>
      <c r="C3680" t="s">
        <v>104</v>
      </c>
      <c r="D3680" s="8">
        <v>316.04000000000002</v>
      </c>
    </row>
    <row r="3681" spans="1:4" x14ac:dyDescent="0.45">
      <c r="A3681" s="7">
        <v>46192</v>
      </c>
      <c r="B3681" t="s">
        <v>97</v>
      </c>
      <c r="C3681" t="s">
        <v>98</v>
      </c>
      <c r="D3681" s="8">
        <v>491.03</v>
      </c>
    </row>
    <row r="3682" spans="1:4" x14ac:dyDescent="0.45">
      <c r="A3682" s="7">
        <v>45866</v>
      </c>
      <c r="B3682" t="s">
        <v>93</v>
      </c>
      <c r="C3682" t="s">
        <v>100</v>
      </c>
      <c r="D3682" s="8">
        <v>260.79000000000002</v>
      </c>
    </row>
    <row r="3683" spans="1:4" x14ac:dyDescent="0.45">
      <c r="A3683" s="7">
        <v>46079</v>
      </c>
      <c r="B3683" t="s">
        <v>93</v>
      </c>
      <c r="C3683" t="s">
        <v>100</v>
      </c>
      <c r="D3683" s="8">
        <v>404.53</v>
      </c>
    </row>
    <row r="3684" spans="1:4" x14ac:dyDescent="0.45">
      <c r="A3684" s="7">
        <v>45718</v>
      </c>
      <c r="B3684" t="s">
        <v>93</v>
      </c>
      <c r="C3684" t="s">
        <v>106</v>
      </c>
      <c r="D3684" s="8">
        <v>81.02</v>
      </c>
    </row>
    <row r="3685" spans="1:4" x14ac:dyDescent="0.45">
      <c r="A3685" s="7">
        <v>45720</v>
      </c>
      <c r="B3685" t="s">
        <v>95</v>
      </c>
      <c r="C3685" t="s">
        <v>102</v>
      </c>
      <c r="D3685" s="8">
        <v>5.65</v>
      </c>
    </row>
    <row r="3686" spans="1:4" x14ac:dyDescent="0.45">
      <c r="A3686" s="7">
        <v>45728</v>
      </c>
      <c r="B3686" t="s">
        <v>95</v>
      </c>
      <c r="C3686" t="s">
        <v>96</v>
      </c>
      <c r="D3686" s="8">
        <v>-1.95</v>
      </c>
    </row>
    <row r="3687" spans="1:4" x14ac:dyDescent="0.45">
      <c r="A3687" s="7">
        <v>45328</v>
      </c>
      <c r="B3687" t="s">
        <v>93</v>
      </c>
      <c r="C3687" t="s">
        <v>103</v>
      </c>
      <c r="D3687" s="8">
        <v>-126.63</v>
      </c>
    </row>
    <row r="3688" spans="1:4" x14ac:dyDescent="0.45">
      <c r="A3688" s="7">
        <v>45629</v>
      </c>
      <c r="B3688" t="s">
        <v>95</v>
      </c>
      <c r="C3688" t="s">
        <v>109</v>
      </c>
      <c r="D3688" s="8">
        <v>277.5</v>
      </c>
    </row>
    <row r="3689" spans="1:4" x14ac:dyDescent="0.45">
      <c r="A3689" s="7">
        <v>45591</v>
      </c>
      <c r="B3689" t="s">
        <v>95</v>
      </c>
      <c r="C3689" t="s">
        <v>96</v>
      </c>
      <c r="D3689" s="8">
        <v>460.44</v>
      </c>
    </row>
    <row r="3690" spans="1:4" x14ac:dyDescent="0.45">
      <c r="A3690" s="7">
        <v>46023</v>
      </c>
      <c r="B3690" t="s">
        <v>93</v>
      </c>
      <c r="C3690" t="s">
        <v>94</v>
      </c>
      <c r="D3690" s="8">
        <v>468.75</v>
      </c>
    </row>
    <row r="3691" spans="1:4" x14ac:dyDescent="0.45">
      <c r="A3691" s="7">
        <v>45968</v>
      </c>
      <c r="B3691" t="s">
        <v>95</v>
      </c>
      <c r="C3691" t="s">
        <v>109</v>
      </c>
      <c r="D3691" s="8">
        <v>-15.59</v>
      </c>
    </row>
    <row r="3692" spans="1:4" x14ac:dyDescent="0.45">
      <c r="A3692" s="7">
        <v>45851</v>
      </c>
      <c r="B3692" t="s">
        <v>95</v>
      </c>
      <c r="C3692" t="s">
        <v>109</v>
      </c>
      <c r="D3692" s="8">
        <v>42.08</v>
      </c>
    </row>
    <row r="3693" spans="1:4" x14ac:dyDescent="0.45">
      <c r="A3693" s="7">
        <v>45827</v>
      </c>
      <c r="B3693" t="s">
        <v>95</v>
      </c>
      <c r="C3693" t="s">
        <v>102</v>
      </c>
      <c r="D3693" s="8">
        <v>-116.12</v>
      </c>
    </row>
    <row r="3694" spans="1:4" x14ac:dyDescent="0.45">
      <c r="A3694" s="7">
        <v>45399</v>
      </c>
      <c r="B3694" t="s">
        <v>95</v>
      </c>
      <c r="C3694" t="s">
        <v>102</v>
      </c>
      <c r="D3694" s="8">
        <v>487.32</v>
      </c>
    </row>
    <row r="3695" spans="1:4" x14ac:dyDescent="0.45">
      <c r="A3695" s="7">
        <v>45611</v>
      </c>
      <c r="B3695" t="s">
        <v>97</v>
      </c>
      <c r="C3695" t="s">
        <v>104</v>
      </c>
      <c r="D3695" s="8">
        <v>205.11</v>
      </c>
    </row>
    <row r="3696" spans="1:4" x14ac:dyDescent="0.45">
      <c r="A3696" s="7">
        <v>46190</v>
      </c>
      <c r="B3696" t="s">
        <v>95</v>
      </c>
      <c r="C3696" t="s">
        <v>102</v>
      </c>
      <c r="D3696" s="8">
        <v>-128.46</v>
      </c>
    </row>
    <row r="3697" spans="1:4" x14ac:dyDescent="0.45">
      <c r="A3697" s="7">
        <v>45293</v>
      </c>
      <c r="B3697" t="s">
        <v>93</v>
      </c>
      <c r="C3697" t="s">
        <v>103</v>
      </c>
      <c r="D3697" s="8">
        <v>-120.17</v>
      </c>
    </row>
    <row r="3698" spans="1:4" x14ac:dyDescent="0.45">
      <c r="A3698" s="7">
        <v>45535</v>
      </c>
      <c r="B3698" t="s">
        <v>93</v>
      </c>
      <c r="C3698" t="s">
        <v>100</v>
      </c>
      <c r="D3698" s="8">
        <v>-29.84</v>
      </c>
    </row>
    <row r="3699" spans="1:4" x14ac:dyDescent="0.45">
      <c r="A3699" s="7">
        <v>45630</v>
      </c>
      <c r="B3699" t="s">
        <v>97</v>
      </c>
      <c r="C3699" t="s">
        <v>107</v>
      </c>
      <c r="D3699" s="8">
        <v>113.63</v>
      </c>
    </row>
    <row r="3700" spans="1:4" x14ac:dyDescent="0.45">
      <c r="A3700" s="7">
        <v>45556</v>
      </c>
      <c r="B3700" t="s">
        <v>93</v>
      </c>
      <c r="C3700" t="s">
        <v>94</v>
      </c>
      <c r="D3700" s="8">
        <v>201.74</v>
      </c>
    </row>
    <row r="3701" spans="1:4" x14ac:dyDescent="0.45">
      <c r="A3701" s="7">
        <v>45725</v>
      </c>
      <c r="B3701" t="s">
        <v>95</v>
      </c>
      <c r="C3701" t="s">
        <v>108</v>
      </c>
      <c r="D3701" s="8">
        <v>325.74</v>
      </c>
    </row>
    <row r="3702" spans="1:4" x14ac:dyDescent="0.45">
      <c r="A3702" s="7">
        <v>45481</v>
      </c>
      <c r="B3702" t="s">
        <v>93</v>
      </c>
      <c r="C3702" t="s">
        <v>103</v>
      </c>
      <c r="D3702" s="8">
        <v>422.84</v>
      </c>
    </row>
    <row r="3703" spans="1:4" x14ac:dyDescent="0.45">
      <c r="A3703" s="7">
        <v>45623</v>
      </c>
      <c r="B3703" t="s">
        <v>95</v>
      </c>
      <c r="C3703" t="s">
        <v>105</v>
      </c>
      <c r="D3703" s="8">
        <v>192.19</v>
      </c>
    </row>
    <row r="3704" spans="1:4" x14ac:dyDescent="0.45">
      <c r="A3704" s="7">
        <v>45529</v>
      </c>
      <c r="B3704" t="s">
        <v>95</v>
      </c>
      <c r="C3704" t="s">
        <v>99</v>
      </c>
      <c r="D3704" s="8">
        <v>15.27</v>
      </c>
    </row>
    <row r="3705" spans="1:4" x14ac:dyDescent="0.45">
      <c r="A3705" s="7">
        <v>45572</v>
      </c>
      <c r="B3705" t="s">
        <v>93</v>
      </c>
      <c r="C3705" t="s">
        <v>106</v>
      </c>
      <c r="D3705" s="8">
        <v>270.88</v>
      </c>
    </row>
    <row r="3706" spans="1:4" x14ac:dyDescent="0.45">
      <c r="A3706" s="7">
        <v>45363</v>
      </c>
      <c r="B3706" t="s">
        <v>93</v>
      </c>
      <c r="C3706" t="s">
        <v>106</v>
      </c>
      <c r="D3706" s="8">
        <v>-94.36</v>
      </c>
    </row>
    <row r="3707" spans="1:4" x14ac:dyDescent="0.45">
      <c r="A3707" s="7">
        <v>45655</v>
      </c>
      <c r="B3707" t="s">
        <v>93</v>
      </c>
      <c r="C3707" t="s">
        <v>103</v>
      </c>
      <c r="D3707" s="8">
        <v>55.17</v>
      </c>
    </row>
    <row r="3708" spans="1:4" x14ac:dyDescent="0.45">
      <c r="A3708" s="7">
        <v>45965</v>
      </c>
      <c r="B3708" t="s">
        <v>97</v>
      </c>
      <c r="C3708" t="s">
        <v>104</v>
      </c>
      <c r="D3708" s="8">
        <v>30.39</v>
      </c>
    </row>
    <row r="3709" spans="1:4" x14ac:dyDescent="0.45">
      <c r="A3709" s="7">
        <v>45423</v>
      </c>
      <c r="B3709" t="s">
        <v>93</v>
      </c>
      <c r="C3709" t="s">
        <v>100</v>
      </c>
      <c r="D3709" s="8">
        <v>-87.56</v>
      </c>
    </row>
    <row r="3710" spans="1:4" x14ac:dyDescent="0.45">
      <c r="A3710" s="7">
        <v>45541</v>
      </c>
      <c r="B3710" t="s">
        <v>95</v>
      </c>
      <c r="C3710" t="s">
        <v>108</v>
      </c>
      <c r="D3710" s="8">
        <v>362.03</v>
      </c>
    </row>
    <row r="3711" spans="1:4" x14ac:dyDescent="0.45">
      <c r="A3711" s="7">
        <v>45917</v>
      </c>
      <c r="B3711" t="s">
        <v>97</v>
      </c>
      <c r="C3711" t="s">
        <v>98</v>
      </c>
      <c r="D3711" s="8">
        <v>20.83</v>
      </c>
    </row>
    <row r="3712" spans="1:4" x14ac:dyDescent="0.45">
      <c r="A3712" s="7">
        <v>46105</v>
      </c>
      <c r="B3712" t="s">
        <v>97</v>
      </c>
      <c r="C3712" t="s">
        <v>107</v>
      </c>
      <c r="D3712" s="8">
        <v>-1.72</v>
      </c>
    </row>
    <row r="3713" spans="1:4" x14ac:dyDescent="0.45">
      <c r="A3713" s="7">
        <v>45438</v>
      </c>
      <c r="B3713" t="s">
        <v>95</v>
      </c>
      <c r="C3713" t="s">
        <v>109</v>
      </c>
      <c r="D3713" s="8">
        <v>120.42</v>
      </c>
    </row>
    <row r="3714" spans="1:4" x14ac:dyDescent="0.45">
      <c r="A3714" s="7">
        <v>45714</v>
      </c>
      <c r="B3714" t="s">
        <v>95</v>
      </c>
      <c r="C3714" t="s">
        <v>105</v>
      </c>
      <c r="D3714" s="8">
        <v>194.95</v>
      </c>
    </row>
    <row r="3715" spans="1:4" x14ac:dyDescent="0.45">
      <c r="A3715" s="7">
        <v>45860</v>
      </c>
      <c r="B3715" t="s">
        <v>97</v>
      </c>
      <c r="C3715" t="s">
        <v>98</v>
      </c>
      <c r="D3715" s="8">
        <v>341.34</v>
      </c>
    </row>
    <row r="3716" spans="1:4" x14ac:dyDescent="0.45">
      <c r="A3716" s="7">
        <v>45899</v>
      </c>
      <c r="B3716" t="s">
        <v>97</v>
      </c>
      <c r="C3716" t="s">
        <v>101</v>
      </c>
      <c r="D3716" s="8">
        <v>42.82</v>
      </c>
    </row>
    <row r="3717" spans="1:4" x14ac:dyDescent="0.45">
      <c r="A3717" s="7">
        <v>45706</v>
      </c>
      <c r="B3717" t="s">
        <v>93</v>
      </c>
      <c r="C3717" t="s">
        <v>100</v>
      </c>
      <c r="D3717" s="8">
        <v>427.11</v>
      </c>
    </row>
    <row r="3718" spans="1:4" x14ac:dyDescent="0.45">
      <c r="A3718" s="7">
        <v>45484</v>
      </c>
      <c r="B3718" t="s">
        <v>93</v>
      </c>
      <c r="C3718" t="s">
        <v>106</v>
      </c>
      <c r="D3718" s="8">
        <v>27.56</v>
      </c>
    </row>
    <row r="3719" spans="1:4" x14ac:dyDescent="0.45">
      <c r="A3719" s="7">
        <v>45546</v>
      </c>
      <c r="B3719" t="s">
        <v>97</v>
      </c>
      <c r="C3719" t="s">
        <v>104</v>
      </c>
      <c r="D3719" s="8">
        <v>23.15</v>
      </c>
    </row>
    <row r="3720" spans="1:4" x14ac:dyDescent="0.45">
      <c r="A3720" s="7">
        <v>46162</v>
      </c>
      <c r="B3720" t="s">
        <v>97</v>
      </c>
      <c r="C3720" t="s">
        <v>104</v>
      </c>
      <c r="D3720" s="8">
        <v>290.74</v>
      </c>
    </row>
    <row r="3721" spans="1:4" x14ac:dyDescent="0.45">
      <c r="A3721" s="7">
        <v>45342</v>
      </c>
      <c r="B3721" t="s">
        <v>93</v>
      </c>
      <c r="C3721" t="s">
        <v>106</v>
      </c>
      <c r="D3721" s="8">
        <v>160.28</v>
      </c>
    </row>
    <row r="3722" spans="1:4" x14ac:dyDescent="0.45">
      <c r="A3722" s="7">
        <v>45583</v>
      </c>
      <c r="B3722" t="s">
        <v>93</v>
      </c>
      <c r="C3722" t="s">
        <v>100</v>
      </c>
      <c r="D3722" s="8">
        <v>480.17</v>
      </c>
    </row>
    <row r="3723" spans="1:4" x14ac:dyDescent="0.45">
      <c r="A3723" s="7">
        <v>46084</v>
      </c>
      <c r="B3723" t="s">
        <v>97</v>
      </c>
      <c r="C3723" t="s">
        <v>104</v>
      </c>
      <c r="D3723" s="8">
        <v>224.51</v>
      </c>
    </row>
    <row r="3724" spans="1:4" x14ac:dyDescent="0.45">
      <c r="A3724" s="7">
        <v>46190</v>
      </c>
      <c r="B3724" t="s">
        <v>95</v>
      </c>
      <c r="C3724" t="s">
        <v>102</v>
      </c>
      <c r="D3724" s="8">
        <v>-24.43</v>
      </c>
    </row>
    <row r="3725" spans="1:4" x14ac:dyDescent="0.45">
      <c r="A3725" s="7">
        <v>46177</v>
      </c>
      <c r="B3725" t="s">
        <v>97</v>
      </c>
      <c r="C3725" t="s">
        <v>104</v>
      </c>
      <c r="D3725" s="8">
        <v>103.36</v>
      </c>
    </row>
    <row r="3726" spans="1:4" x14ac:dyDescent="0.45">
      <c r="A3726" s="7">
        <v>45320</v>
      </c>
      <c r="B3726" t="s">
        <v>97</v>
      </c>
      <c r="C3726" t="s">
        <v>107</v>
      </c>
      <c r="D3726" s="8">
        <v>-83.47</v>
      </c>
    </row>
    <row r="3727" spans="1:4" x14ac:dyDescent="0.45">
      <c r="A3727" s="7">
        <v>45474</v>
      </c>
      <c r="B3727" t="s">
        <v>93</v>
      </c>
      <c r="C3727" t="s">
        <v>100</v>
      </c>
      <c r="D3727" s="8">
        <v>75.87</v>
      </c>
    </row>
    <row r="3728" spans="1:4" x14ac:dyDescent="0.45">
      <c r="A3728" s="7">
        <v>45977</v>
      </c>
      <c r="B3728" t="s">
        <v>93</v>
      </c>
      <c r="C3728" t="s">
        <v>103</v>
      </c>
      <c r="D3728" s="8">
        <v>5.73</v>
      </c>
    </row>
    <row r="3729" spans="1:4" x14ac:dyDescent="0.45">
      <c r="A3729" s="7">
        <v>45618</v>
      </c>
      <c r="B3729" t="s">
        <v>97</v>
      </c>
      <c r="C3729" t="s">
        <v>101</v>
      </c>
      <c r="D3729" s="8">
        <v>37.04</v>
      </c>
    </row>
    <row r="3730" spans="1:4" x14ac:dyDescent="0.45">
      <c r="A3730" s="7">
        <v>45892</v>
      </c>
      <c r="B3730" t="s">
        <v>97</v>
      </c>
      <c r="C3730" t="s">
        <v>104</v>
      </c>
      <c r="D3730" s="8">
        <v>-69.209999999999994</v>
      </c>
    </row>
    <row r="3731" spans="1:4" x14ac:dyDescent="0.45">
      <c r="A3731" s="7">
        <v>45333</v>
      </c>
      <c r="B3731" t="s">
        <v>93</v>
      </c>
      <c r="C3731" t="s">
        <v>94</v>
      </c>
      <c r="D3731" s="8">
        <v>-23.34</v>
      </c>
    </row>
    <row r="3732" spans="1:4" x14ac:dyDescent="0.45">
      <c r="A3732" s="7">
        <v>45807</v>
      </c>
      <c r="B3732" t="s">
        <v>95</v>
      </c>
      <c r="C3732" t="s">
        <v>96</v>
      </c>
      <c r="D3732" s="8">
        <v>359.05</v>
      </c>
    </row>
    <row r="3733" spans="1:4" x14ac:dyDescent="0.45">
      <c r="A3733" s="7">
        <v>46157</v>
      </c>
      <c r="B3733" t="s">
        <v>93</v>
      </c>
      <c r="C3733" t="s">
        <v>94</v>
      </c>
      <c r="D3733" s="8">
        <v>31.05</v>
      </c>
    </row>
    <row r="3734" spans="1:4" x14ac:dyDescent="0.45">
      <c r="A3734" s="7">
        <v>45394</v>
      </c>
      <c r="B3734" t="s">
        <v>95</v>
      </c>
      <c r="C3734" t="s">
        <v>96</v>
      </c>
      <c r="D3734" s="8">
        <v>28.36</v>
      </c>
    </row>
    <row r="3735" spans="1:4" x14ac:dyDescent="0.45">
      <c r="A3735" s="7">
        <v>45670</v>
      </c>
      <c r="B3735" t="s">
        <v>97</v>
      </c>
      <c r="C3735" t="s">
        <v>101</v>
      </c>
      <c r="D3735" s="8">
        <v>210.73</v>
      </c>
    </row>
    <row r="3736" spans="1:4" x14ac:dyDescent="0.45">
      <c r="A3736" s="7">
        <v>46057</v>
      </c>
      <c r="B3736" t="s">
        <v>97</v>
      </c>
      <c r="C3736" t="s">
        <v>104</v>
      </c>
      <c r="D3736" s="8">
        <v>346.24</v>
      </c>
    </row>
    <row r="3737" spans="1:4" x14ac:dyDescent="0.45">
      <c r="A3737" s="7">
        <v>45427</v>
      </c>
      <c r="B3737" t="s">
        <v>97</v>
      </c>
      <c r="C3737" t="s">
        <v>104</v>
      </c>
      <c r="D3737" s="8">
        <v>151.13</v>
      </c>
    </row>
    <row r="3738" spans="1:4" x14ac:dyDescent="0.45">
      <c r="A3738" s="7">
        <v>45676</v>
      </c>
      <c r="B3738" t="s">
        <v>93</v>
      </c>
      <c r="C3738" t="s">
        <v>103</v>
      </c>
      <c r="D3738" s="8">
        <v>290.44</v>
      </c>
    </row>
    <row r="3739" spans="1:4" x14ac:dyDescent="0.45">
      <c r="A3739" s="7">
        <v>45385</v>
      </c>
      <c r="B3739" t="s">
        <v>97</v>
      </c>
      <c r="C3739" t="s">
        <v>104</v>
      </c>
      <c r="D3739" s="8">
        <v>393.34</v>
      </c>
    </row>
    <row r="3740" spans="1:4" x14ac:dyDescent="0.45">
      <c r="A3740" s="7">
        <v>46174</v>
      </c>
      <c r="B3740" t="s">
        <v>93</v>
      </c>
      <c r="C3740" t="s">
        <v>100</v>
      </c>
      <c r="D3740" s="8">
        <v>77.06</v>
      </c>
    </row>
    <row r="3741" spans="1:4" x14ac:dyDescent="0.45">
      <c r="A3741" s="7">
        <v>45536</v>
      </c>
      <c r="B3741" t="s">
        <v>95</v>
      </c>
      <c r="C3741" t="s">
        <v>105</v>
      </c>
      <c r="D3741" s="8">
        <v>-107.97</v>
      </c>
    </row>
    <row r="3742" spans="1:4" x14ac:dyDescent="0.45">
      <c r="A3742" s="7">
        <v>46133</v>
      </c>
      <c r="B3742" t="s">
        <v>97</v>
      </c>
      <c r="C3742" t="s">
        <v>101</v>
      </c>
      <c r="D3742" s="8">
        <v>480.15</v>
      </c>
    </row>
    <row r="3743" spans="1:4" x14ac:dyDescent="0.45">
      <c r="A3743" s="7">
        <v>45414</v>
      </c>
      <c r="B3743" t="s">
        <v>97</v>
      </c>
      <c r="C3743" t="s">
        <v>107</v>
      </c>
      <c r="D3743" s="8">
        <v>64.819999999999993</v>
      </c>
    </row>
    <row r="3744" spans="1:4" x14ac:dyDescent="0.45">
      <c r="A3744" s="7">
        <v>45884</v>
      </c>
      <c r="B3744" t="s">
        <v>97</v>
      </c>
      <c r="C3744" t="s">
        <v>98</v>
      </c>
      <c r="D3744" s="8">
        <v>333.72</v>
      </c>
    </row>
    <row r="3745" spans="1:4" x14ac:dyDescent="0.45">
      <c r="A3745" s="7">
        <v>45746</v>
      </c>
      <c r="B3745" t="s">
        <v>95</v>
      </c>
      <c r="C3745" t="s">
        <v>109</v>
      </c>
      <c r="D3745" s="8">
        <v>136.35</v>
      </c>
    </row>
    <row r="3746" spans="1:4" x14ac:dyDescent="0.45">
      <c r="A3746" s="7">
        <v>45909</v>
      </c>
      <c r="B3746" t="s">
        <v>95</v>
      </c>
      <c r="C3746" t="s">
        <v>105</v>
      </c>
      <c r="D3746" s="8">
        <v>418.02</v>
      </c>
    </row>
    <row r="3747" spans="1:4" x14ac:dyDescent="0.45">
      <c r="A3747" s="7">
        <v>46159</v>
      </c>
      <c r="B3747" t="s">
        <v>93</v>
      </c>
      <c r="C3747" t="s">
        <v>100</v>
      </c>
      <c r="D3747" s="8">
        <v>295.95</v>
      </c>
    </row>
    <row r="3748" spans="1:4" x14ac:dyDescent="0.45">
      <c r="A3748" s="7">
        <v>46176</v>
      </c>
      <c r="B3748" t="s">
        <v>97</v>
      </c>
      <c r="C3748" t="s">
        <v>101</v>
      </c>
      <c r="D3748" s="8">
        <v>342.65</v>
      </c>
    </row>
    <row r="3749" spans="1:4" x14ac:dyDescent="0.45">
      <c r="A3749" s="7">
        <v>45456</v>
      </c>
      <c r="B3749" t="s">
        <v>97</v>
      </c>
      <c r="C3749" t="s">
        <v>107</v>
      </c>
      <c r="D3749" s="8">
        <v>-74.180000000000007</v>
      </c>
    </row>
    <row r="3750" spans="1:4" x14ac:dyDescent="0.45">
      <c r="A3750" s="7">
        <v>46186</v>
      </c>
      <c r="B3750" t="s">
        <v>93</v>
      </c>
      <c r="C3750" t="s">
        <v>103</v>
      </c>
      <c r="D3750" s="8">
        <v>-62.16</v>
      </c>
    </row>
    <row r="3751" spans="1:4" x14ac:dyDescent="0.45">
      <c r="A3751" s="7">
        <v>46190</v>
      </c>
      <c r="B3751" t="s">
        <v>97</v>
      </c>
      <c r="C3751" t="s">
        <v>98</v>
      </c>
      <c r="D3751" s="8">
        <v>-147.46</v>
      </c>
    </row>
    <row r="3752" spans="1:4" x14ac:dyDescent="0.45">
      <c r="A3752" s="7">
        <v>45570</v>
      </c>
      <c r="B3752" t="s">
        <v>95</v>
      </c>
      <c r="C3752" t="s">
        <v>109</v>
      </c>
      <c r="D3752" s="8">
        <v>228.04</v>
      </c>
    </row>
    <row r="3753" spans="1:4" x14ac:dyDescent="0.45">
      <c r="A3753" s="7">
        <v>45464</v>
      </c>
      <c r="B3753" t="s">
        <v>95</v>
      </c>
      <c r="C3753" t="s">
        <v>96</v>
      </c>
      <c r="D3753" s="8">
        <v>261.14999999999998</v>
      </c>
    </row>
    <row r="3754" spans="1:4" x14ac:dyDescent="0.45">
      <c r="A3754" s="7">
        <v>45981</v>
      </c>
      <c r="B3754" t="s">
        <v>97</v>
      </c>
      <c r="C3754" t="s">
        <v>107</v>
      </c>
      <c r="D3754" s="8">
        <v>485.95</v>
      </c>
    </row>
    <row r="3755" spans="1:4" x14ac:dyDescent="0.45">
      <c r="A3755" s="7">
        <v>46096</v>
      </c>
      <c r="B3755" t="s">
        <v>93</v>
      </c>
      <c r="C3755" t="s">
        <v>100</v>
      </c>
      <c r="D3755" s="8">
        <v>161.31</v>
      </c>
    </row>
    <row r="3756" spans="1:4" x14ac:dyDescent="0.45">
      <c r="A3756" s="7">
        <v>45725</v>
      </c>
      <c r="B3756" t="s">
        <v>97</v>
      </c>
      <c r="C3756" t="s">
        <v>101</v>
      </c>
      <c r="D3756" s="8">
        <v>291.02999999999997</v>
      </c>
    </row>
    <row r="3757" spans="1:4" x14ac:dyDescent="0.45">
      <c r="A3757" s="7">
        <v>45528</v>
      </c>
      <c r="B3757" t="s">
        <v>97</v>
      </c>
      <c r="C3757" t="s">
        <v>107</v>
      </c>
      <c r="D3757" s="8">
        <v>82.46</v>
      </c>
    </row>
    <row r="3758" spans="1:4" x14ac:dyDescent="0.45">
      <c r="A3758" s="7">
        <v>45635</v>
      </c>
      <c r="B3758" t="s">
        <v>97</v>
      </c>
      <c r="C3758" t="s">
        <v>98</v>
      </c>
      <c r="D3758" s="8">
        <v>356.9</v>
      </c>
    </row>
    <row r="3759" spans="1:4" x14ac:dyDescent="0.45">
      <c r="A3759" s="7">
        <v>45597</v>
      </c>
      <c r="B3759" t="s">
        <v>95</v>
      </c>
      <c r="C3759" t="s">
        <v>96</v>
      </c>
      <c r="D3759" s="8">
        <v>-10.39</v>
      </c>
    </row>
    <row r="3760" spans="1:4" x14ac:dyDescent="0.45">
      <c r="A3760" s="7">
        <v>45440</v>
      </c>
      <c r="B3760" t="s">
        <v>95</v>
      </c>
      <c r="C3760" t="s">
        <v>99</v>
      </c>
      <c r="D3760" s="8">
        <v>198.78</v>
      </c>
    </row>
    <row r="3761" spans="1:4" x14ac:dyDescent="0.45">
      <c r="A3761" s="7">
        <v>45586</v>
      </c>
      <c r="B3761" t="s">
        <v>97</v>
      </c>
      <c r="C3761" t="s">
        <v>98</v>
      </c>
      <c r="D3761" s="8">
        <v>406.41</v>
      </c>
    </row>
    <row r="3762" spans="1:4" x14ac:dyDescent="0.45">
      <c r="A3762" s="7">
        <v>46066</v>
      </c>
      <c r="B3762" t="s">
        <v>97</v>
      </c>
      <c r="C3762" t="s">
        <v>98</v>
      </c>
      <c r="D3762" s="8">
        <v>462.06</v>
      </c>
    </row>
    <row r="3763" spans="1:4" x14ac:dyDescent="0.45">
      <c r="A3763" s="7">
        <v>45913</v>
      </c>
      <c r="B3763" t="s">
        <v>97</v>
      </c>
      <c r="C3763" t="s">
        <v>101</v>
      </c>
      <c r="D3763" s="8">
        <v>-90.12</v>
      </c>
    </row>
    <row r="3764" spans="1:4" x14ac:dyDescent="0.45">
      <c r="A3764" s="7">
        <v>45790</v>
      </c>
      <c r="B3764" t="s">
        <v>93</v>
      </c>
      <c r="C3764" t="s">
        <v>106</v>
      </c>
      <c r="D3764" s="8">
        <v>443.63</v>
      </c>
    </row>
    <row r="3765" spans="1:4" x14ac:dyDescent="0.45">
      <c r="A3765" s="7">
        <v>45393</v>
      </c>
      <c r="B3765" t="s">
        <v>97</v>
      </c>
      <c r="C3765" t="s">
        <v>101</v>
      </c>
      <c r="D3765" s="8">
        <v>-28.5</v>
      </c>
    </row>
    <row r="3766" spans="1:4" x14ac:dyDescent="0.45">
      <c r="A3766" s="7">
        <v>45601</v>
      </c>
      <c r="B3766" t="s">
        <v>93</v>
      </c>
      <c r="C3766" t="s">
        <v>106</v>
      </c>
      <c r="D3766" s="8">
        <v>478.55</v>
      </c>
    </row>
    <row r="3767" spans="1:4" x14ac:dyDescent="0.45">
      <c r="A3767" s="7">
        <v>45664</v>
      </c>
      <c r="B3767" t="s">
        <v>93</v>
      </c>
      <c r="C3767" t="s">
        <v>94</v>
      </c>
      <c r="D3767" s="8">
        <v>41.58</v>
      </c>
    </row>
    <row r="3768" spans="1:4" x14ac:dyDescent="0.45">
      <c r="A3768" s="7">
        <v>45901</v>
      </c>
      <c r="B3768" t="s">
        <v>95</v>
      </c>
      <c r="C3768" t="s">
        <v>102</v>
      </c>
      <c r="D3768" s="8">
        <v>-28.33</v>
      </c>
    </row>
    <row r="3769" spans="1:4" x14ac:dyDescent="0.45">
      <c r="A3769" s="7">
        <v>45437</v>
      </c>
      <c r="B3769" t="s">
        <v>95</v>
      </c>
      <c r="C3769" t="s">
        <v>102</v>
      </c>
      <c r="D3769" s="8">
        <v>94.78</v>
      </c>
    </row>
    <row r="3770" spans="1:4" x14ac:dyDescent="0.45">
      <c r="A3770" s="7">
        <v>46000</v>
      </c>
      <c r="B3770" t="s">
        <v>93</v>
      </c>
      <c r="C3770" t="s">
        <v>106</v>
      </c>
      <c r="D3770" s="8">
        <v>14.43</v>
      </c>
    </row>
    <row r="3771" spans="1:4" x14ac:dyDescent="0.45">
      <c r="A3771" s="7">
        <v>46011</v>
      </c>
      <c r="B3771" t="s">
        <v>97</v>
      </c>
      <c r="C3771" t="s">
        <v>98</v>
      </c>
      <c r="D3771" s="8">
        <v>83.98</v>
      </c>
    </row>
    <row r="3772" spans="1:4" x14ac:dyDescent="0.45">
      <c r="A3772" s="7">
        <v>45972</v>
      </c>
      <c r="B3772" t="s">
        <v>93</v>
      </c>
      <c r="C3772" t="s">
        <v>94</v>
      </c>
      <c r="D3772" s="8">
        <v>421.92</v>
      </c>
    </row>
    <row r="3773" spans="1:4" x14ac:dyDescent="0.45">
      <c r="A3773" s="7">
        <v>45534</v>
      </c>
      <c r="B3773" t="s">
        <v>95</v>
      </c>
      <c r="C3773" t="s">
        <v>96</v>
      </c>
      <c r="D3773" s="8">
        <v>245.13</v>
      </c>
    </row>
    <row r="3774" spans="1:4" x14ac:dyDescent="0.45">
      <c r="A3774" s="7">
        <v>46039</v>
      </c>
      <c r="B3774" t="s">
        <v>95</v>
      </c>
      <c r="C3774" t="s">
        <v>102</v>
      </c>
      <c r="D3774" s="8">
        <v>187.92</v>
      </c>
    </row>
    <row r="3775" spans="1:4" x14ac:dyDescent="0.45">
      <c r="A3775" s="7">
        <v>46176</v>
      </c>
      <c r="B3775" t="s">
        <v>95</v>
      </c>
      <c r="C3775" t="s">
        <v>105</v>
      </c>
      <c r="D3775" s="8">
        <v>147.86000000000001</v>
      </c>
    </row>
    <row r="3776" spans="1:4" x14ac:dyDescent="0.45">
      <c r="A3776" s="7">
        <v>45586</v>
      </c>
      <c r="B3776" t="s">
        <v>97</v>
      </c>
      <c r="C3776" t="s">
        <v>104</v>
      </c>
      <c r="D3776" s="8">
        <v>367.97</v>
      </c>
    </row>
    <row r="3777" spans="1:4" x14ac:dyDescent="0.45">
      <c r="A3777" s="7">
        <v>45802</v>
      </c>
      <c r="B3777" t="s">
        <v>93</v>
      </c>
      <c r="C3777" t="s">
        <v>94</v>
      </c>
      <c r="D3777" s="8">
        <v>-99.88</v>
      </c>
    </row>
    <row r="3778" spans="1:4" x14ac:dyDescent="0.45">
      <c r="A3778" s="7">
        <v>45715</v>
      </c>
      <c r="B3778" t="s">
        <v>97</v>
      </c>
      <c r="C3778" t="s">
        <v>98</v>
      </c>
      <c r="D3778" s="8">
        <v>335.23</v>
      </c>
    </row>
    <row r="3779" spans="1:4" x14ac:dyDescent="0.45">
      <c r="A3779" s="7">
        <v>46146</v>
      </c>
      <c r="B3779" t="s">
        <v>97</v>
      </c>
      <c r="C3779" t="s">
        <v>104</v>
      </c>
      <c r="D3779" s="8">
        <v>23.21</v>
      </c>
    </row>
    <row r="3780" spans="1:4" x14ac:dyDescent="0.45">
      <c r="A3780" s="7">
        <v>46123</v>
      </c>
      <c r="B3780" t="s">
        <v>93</v>
      </c>
      <c r="C3780" t="s">
        <v>94</v>
      </c>
      <c r="D3780" s="8">
        <v>460.31</v>
      </c>
    </row>
    <row r="3781" spans="1:4" x14ac:dyDescent="0.45">
      <c r="A3781" s="7">
        <v>45781</v>
      </c>
      <c r="B3781" t="s">
        <v>95</v>
      </c>
      <c r="C3781" t="s">
        <v>102</v>
      </c>
      <c r="D3781" s="8">
        <v>-4.9000000000000004</v>
      </c>
    </row>
    <row r="3782" spans="1:4" x14ac:dyDescent="0.45">
      <c r="A3782" s="7">
        <v>46072</v>
      </c>
      <c r="B3782" t="s">
        <v>93</v>
      </c>
      <c r="C3782" t="s">
        <v>103</v>
      </c>
      <c r="D3782" s="8">
        <v>107.95</v>
      </c>
    </row>
    <row r="3783" spans="1:4" x14ac:dyDescent="0.45">
      <c r="A3783" s="7">
        <v>46029</v>
      </c>
      <c r="B3783" t="s">
        <v>93</v>
      </c>
      <c r="C3783" t="s">
        <v>94</v>
      </c>
      <c r="D3783" s="8">
        <v>-46.25</v>
      </c>
    </row>
    <row r="3784" spans="1:4" x14ac:dyDescent="0.45">
      <c r="A3784" s="7">
        <v>45735</v>
      </c>
      <c r="B3784" t="s">
        <v>93</v>
      </c>
      <c r="C3784" t="s">
        <v>100</v>
      </c>
      <c r="D3784" s="8">
        <v>389.93</v>
      </c>
    </row>
    <row r="3785" spans="1:4" x14ac:dyDescent="0.45">
      <c r="A3785" s="7">
        <v>46120</v>
      </c>
      <c r="B3785" t="s">
        <v>93</v>
      </c>
      <c r="C3785" t="s">
        <v>94</v>
      </c>
      <c r="D3785" s="8">
        <v>447.75</v>
      </c>
    </row>
    <row r="3786" spans="1:4" x14ac:dyDescent="0.45">
      <c r="A3786" s="7">
        <v>45745</v>
      </c>
      <c r="B3786" t="s">
        <v>95</v>
      </c>
      <c r="C3786" t="s">
        <v>102</v>
      </c>
      <c r="D3786" s="8">
        <v>488.52</v>
      </c>
    </row>
    <row r="3787" spans="1:4" x14ac:dyDescent="0.45">
      <c r="A3787" s="7">
        <v>45604</v>
      </c>
      <c r="B3787" t="s">
        <v>93</v>
      </c>
      <c r="C3787" t="s">
        <v>100</v>
      </c>
      <c r="D3787" s="8">
        <v>-49.9</v>
      </c>
    </row>
    <row r="3788" spans="1:4" x14ac:dyDescent="0.45">
      <c r="A3788" s="7">
        <v>46137</v>
      </c>
      <c r="B3788" t="s">
        <v>93</v>
      </c>
      <c r="C3788" t="s">
        <v>106</v>
      </c>
      <c r="D3788" s="8">
        <v>-84.05</v>
      </c>
    </row>
    <row r="3789" spans="1:4" x14ac:dyDescent="0.45">
      <c r="A3789" s="7">
        <v>45819</v>
      </c>
      <c r="B3789" t="s">
        <v>95</v>
      </c>
      <c r="C3789" t="s">
        <v>102</v>
      </c>
      <c r="D3789" s="8">
        <v>289.58999999999997</v>
      </c>
    </row>
    <row r="3790" spans="1:4" x14ac:dyDescent="0.45">
      <c r="A3790" s="7">
        <v>45861</v>
      </c>
      <c r="B3790" t="s">
        <v>95</v>
      </c>
      <c r="C3790" t="s">
        <v>99</v>
      </c>
      <c r="D3790" s="8">
        <v>494.7</v>
      </c>
    </row>
    <row r="3791" spans="1:4" x14ac:dyDescent="0.45">
      <c r="A3791" s="7">
        <v>46137</v>
      </c>
      <c r="B3791" t="s">
        <v>95</v>
      </c>
      <c r="C3791" t="s">
        <v>105</v>
      </c>
      <c r="D3791" s="8">
        <v>-93.96</v>
      </c>
    </row>
    <row r="3792" spans="1:4" x14ac:dyDescent="0.45">
      <c r="A3792" s="7">
        <v>45844</v>
      </c>
      <c r="B3792" t="s">
        <v>93</v>
      </c>
      <c r="C3792" t="s">
        <v>103</v>
      </c>
      <c r="D3792" s="8">
        <v>1.9</v>
      </c>
    </row>
    <row r="3793" spans="1:4" x14ac:dyDescent="0.45">
      <c r="A3793" s="7">
        <v>45520</v>
      </c>
      <c r="B3793" t="s">
        <v>93</v>
      </c>
      <c r="C3793" t="s">
        <v>94</v>
      </c>
      <c r="D3793" s="8">
        <v>-100.96</v>
      </c>
    </row>
    <row r="3794" spans="1:4" x14ac:dyDescent="0.45">
      <c r="A3794" s="7">
        <v>45913</v>
      </c>
      <c r="B3794" t="s">
        <v>97</v>
      </c>
      <c r="C3794" t="s">
        <v>104</v>
      </c>
      <c r="D3794" s="8">
        <v>-37.229999999999997</v>
      </c>
    </row>
    <row r="3795" spans="1:4" x14ac:dyDescent="0.45">
      <c r="A3795" s="7">
        <v>45961</v>
      </c>
      <c r="B3795" t="s">
        <v>95</v>
      </c>
      <c r="C3795" t="s">
        <v>96</v>
      </c>
      <c r="D3795" s="8">
        <v>-44.04</v>
      </c>
    </row>
    <row r="3796" spans="1:4" x14ac:dyDescent="0.45">
      <c r="A3796" s="7">
        <v>46027</v>
      </c>
      <c r="B3796" t="s">
        <v>97</v>
      </c>
      <c r="C3796" t="s">
        <v>107</v>
      </c>
      <c r="D3796" s="8">
        <v>206.06</v>
      </c>
    </row>
    <row r="3797" spans="1:4" x14ac:dyDescent="0.45">
      <c r="A3797" s="7">
        <v>45459</v>
      </c>
      <c r="B3797" t="s">
        <v>97</v>
      </c>
      <c r="C3797" t="s">
        <v>101</v>
      </c>
      <c r="D3797" s="8">
        <v>204.64</v>
      </c>
    </row>
    <row r="3798" spans="1:4" x14ac:dyDescent="0.45">
      <c r="A3798" s="7">
        <v>46076</v>
      </c>
      <c r="B3798" t="s">
        <v>97</v>
      </c>
      <c r="C3798" t="s">
        <v>98</v>
      </c>
      <c r="D3798" s="8">
        <v>304.52</v>
      </c>
    </row>
    <row r="3799" spans="1:4" x14ac:dyDescent="0.45">
      <c r="A3799" s="7">
        <v>45797</v>
      </c>
      <c r="B3799" t="s">
        <v>95</v>
      </c>
      <c r="C3799" t="s">
        <v>99</v>
      </c>
      <c r="D3799" s="8">
        <v>-149.9</v>
      </c>
    </row>
    <row r="3800" spans="1:4" x14ac:dyDescent="0.45">
      <c r="A3800" s="7">
        <v>46185</v>
      </c>
      <c r="B3800" t="s">
        <v>97</v>
      </c>
      <c r="C3800" t="s">
        <v>107</v>
      </c>
      <c r="D3800" s="8">
        <v>-109.06</v>
      </c>
    </row>
    <row r="3801" spans="1:4" x14ac:dyDescent="0.45">
      <c r="A3801" s="7">
        <v>45365</v>
      </c>
      <c r="B3801" t="s">
        <v>95</v>
      </c>
      <c r="C3801" t="s">
        <v>96</v>
      </c>
      <c r="D3801" s="8">
        <v>-116.43</v>
      </c>
    </row>
    <row r="3802" spans="1:4" x14ac:dyDescent="0.45">
      <c r="A3802" s="7">
        <v>45303</v>
      </c>
      <c r="B3802" t="s">
        <v>95</v>
      </c>
      <c r="C3802" t="s">
        <v>108</v>
      </c>
      <c r="D3802" s="8">
        <v>257.01</v>
      </c>
    </row>
    <row r="3803" spans="1:4" x14ac:dyDescent="0.45">
      <c r="A3803" s="7">
        <v>46002</v>
      </c>
      <c r="B3803" t="s">
        <v>97</v>
      </c>
      <c r="C3803" t="s">
        <v>101</v>
      </c>
      <c r="D3803" s="8">
        <v>-126.89</v>
      </c>
    </row>
    <row r="3804" spans="1:4" x14ac:dyDescent="0.45">
      <c r="A3804" s="7">
        <v>45926</v>
      </c>
      <c r="B3804" t="s">
        <v>93</v>
      </c>
      <c r="C3804" t="s">
        <v>103</v>
      </c>
      <c r="D3804" s="8">
        <v>-22.06</v>
      </c>
    </row>
    <row r="3805" spans="1:4" x14ac:dyDescent="0.45">
      <c r="A3805" s="7">
        <v>45740</v>
      </c>
      <c r="B3805" t="s">
        <v>97</v>
      </c>
      <c r="C3805" t="s">
        <v>101</v>
      </c>
      <c r="D3805" s="8">
        <v>334.78</v>
      </c>
    </row>
    <row r="3806" spans="1:4" x14ac:dyDescent="0.45">
      <c r="A3806" s="7">
        <v>45474</v>
      </c>
      <c r="B3806" t="s">
        <v>93</v>
      </c>
      <c r="C3806" t="s">
        <v>106</v>
      </c>
      <c r="D3806" s="8">
        <v>131.25</v>
      </c>
    </row>
    <row r="3807" spans="1:4" x14ac:dyDescent="0.45">
      <c r="A3807" s="7">
        <v>45703</v>
      </c>
      <c r="B3807" t="s">
        <v>93</v>
      </c>
      <c r="C3807" t="s">
        <v>103</v>
      </c>
      <c r="D3807" s="8">
        <v>77.680000000000007</v>
      </c>
    </row>
    <row r="3808" spans="1:4" x14ac:dyDescent="0.45">
      <c r="A3808" s="7">
        <v>45884</v>
      </c>
      <c r="B3808" t="s">
        <v>95</v>
      </c>
      <c r="C3808" t="s">
        <v>99</v>
      </c>
      <c r="D3808" s="8">
        <v>393.37</v>
      </c>
    </row>
    <row r="3809" spans="1:4" x14ac:dyDescent="0.45">
      <c r="A3809" s="7">
        <v>45983</v>
      </c>
      <c r="B3809" t="s">
        <v>95</v>
      </c>
      <c r="C3809" t="s">
        <v>108</v>
      </c>
      <c r="D3809" s="8">
        <v>225.04</v>
      </c>
    </row>
    <row r="3810" spans="1:4" x14ac:dyDescent="0.45">
      <c r="A3810" s="7">
        <v>46154</v>
      </c>
      <c r="B3810" t="s">
        <v>97</v>
      </c>
      <c r="C3810" t="s">
        <v>107</v>
      </c>
      <c r="D3810" s="8">
        <v>223.73</v>
      </c>
    </row>
    <row r="3811" spans="1:4" x14ac:dyDescent="0.45">
      <c r="A3811" s="7">
        <v>45726</v>
      </c>
      <c r="B3811" t="s">
        <v>93</v>
      </c>
      <c r="C3811" t="s">
        <v>100</v>
      </c>
      <c r="D3811" s="8">
        <v>-115.03</v>
      </c>
    </row>
    <row r="3812" spans="1:4" x14ac:dyDescent="0.45">
      <c r="A3812" s="7">
        <v>45806</v>
      </c>
      <c r="B3812" t="s">
        <v>97</v>
      </c>
      <c r="C3812" t="s">
        <v>107</v>
      </c>
      <c r="D3812" s="8">
        <v>239.85</v>
      </c>
    </row>
    <row r="3813" spans="1:4" x14ac:dyDescent="0.45">
      <c r="A3813" s="7">
        <v>45457</v>
      </c>
      <c r="B3813" t="s">
        <v>97</v>
      </c>
      <c r="C3813" t="s">
        <v>107</v>
      </c>
      <c r="D3813" s="8">
        <v>305.04000000000002</v>
      </c>
    </row>
    <row r="3814" spans="1:4" x14ac:dyDescent="0.45">
      <c r="A3814" s="7">
        <v>46080</v>
      </c>
      <c r="B3814" t="s">
        <v>95</v>
      </c>
      <c r="C3814" t="s">
        <v>99</v>
      </c>
      <c r="D3814" s="8">
        <v>269.70999999999998</v>
      </c>
    </row>
    <row r="3815" spans="1:4" x14ac:dyDescent="0.45">
      <c r="A3815" s="7">
        <v>45946</v>
      </c>
      <c r="B3815" t="s">
        <v>95</v>
      </c>
      <c r="C3815" t="s">
        <v>108</v>
      </c>
      <c r="D3815" s="8">
        <v>476.08</v>
      </c>
    </row>
    <row r="3816" spans="1:4" x14ac:dyDescent="0.45">
      <c r="A3816" s="7">
        <v>45349</v>
      </c>
      <c r="B3816" t="s">
        <v>93</v>
      </c>
      <c r="C3816" t="s">
        <v>100</v>
      </c>
      <c r="D3816" s="8">
        <v>-127.63</v>
      </c>
    </row>
    <row r="3817" spans="1:4" x14ac:dyDescent="0.45">
      <c r="A3817" s="7">
        <v>45331</v>
      </c>
      <c r="B3817" t="s">
        <v>95</v>
      </c>
      <c r="C3817" t="s">
        <v>109</v>
      </c>
      <c r="D3817" s="8">
        <v>198.02</v>
      </c>
    </row>
    <row r="3818" spans="1:4" x14ac:dyDescent="0.45">
      <c r="A3818" s="7">
        <v>46085</v>
      </c>
      <c r="B3818" t="s">
        <v>95</v>
      </c>
      <c r="C3818" t="s">
        <v>109</v>
      </c>
      <c r="D3818" s="8">
        <v>15.84</v>
      </c>
    </row>
    <row r="3819" spans="1:4" x14ac:dyDescent="0.45">
      <c r="A3819" s="7">
        <v>45550</v>
      </c>
      <c r="B3819" t="s">
        <v>95</v>
      </c>
      <c r="C3819" t="s">
        <v>108</v>
      </c>
      <c r="D3819" s="8">
        <v>180.74</v>
      </c>
    </row>
    <row r="3820" spans="1:4" x14ac:dyDescent="0.45">
      <c r="A3820" s="7">
        <v>45916</v>
      </c>
      <c r="B3820" t="s">
        <v>97</v>
      </c>
      <c r="C3820" t="s">
        <v>98</v>
      </c>
      <c r="D3820" s="8">
        <v>105.53</v>
      </c>
    </row>
    <row r="3821" spans="1:4" x14ac:dyDescent="0.45">
      <c r="A3821" s="7">
        <v>45384</v>
      </c>
      <c r="B3821" t="s">
        <v>97</v>
      </c>
      <c r="C3821" t="s">
        <v>107</v>
      </c>
      <c r="D3821" s="8">
        <v>88.28</v>
      </c>
    </row>
    <row r="3822" spans="1:4" x14ac:dyDescent="0.45">
      <c r="A3822" s="7">
        <v>46185</v>
      </c>
      <c r="B3822" t="s">
        <v>97</v>
      </c>
      <c r="C3822" t="s">
        <v>107</v>
      </c>
      <c r="D3822" s="8">
        <v>-60.81</v>
      </c>
    </row>
    <row r="3823" spans="1:4" x14ac:dyDescent="0.45">
      <c r="A3823" s="7">
        <v>45770</v>
      </c>
      <c r="B3823" t="s">
        <v>97</v>
      </c>
      <c r="C3823" t="s">
        <v>104</v>
      </c>
      <c r="D3823" s="8">
        <v>353.04</v>
      </c>
    </row>
    <row r="3824" spans="1:4" x14ac:dyDescent="0.45">
      <c r="A3824" s="7">
        <v>45505</v>
      </c>
      <c r="B3824" t="s">
        <v>93</v>
      </c>
      <c r="C3824" t="s">
        <v>103</v>
      </c>
      <c r="D3824" s="8">
        <v>453.05</v>
      </c>
    </row>
    <row r="3825" spans="1:4" x14ac:dyDescent="0.45">
      <c r="A3825" s="7">
        <v>46081</v>
      </c>
      <c r="B3825" t="s">
        <v>97</v>
      </c>
      <c r="C3825" t="s">
        <v>101</v>
      </c>
      <c r="D3825" s="8">
        <v>155.57</v>
      </c>
    </row>
    <row r="3826" spans="1:4" x14ac:dyDescent="0.45">
      <c r="A3826" s="7">
        <v>45971</v>
      </c>
      <c r="B3826" t="s">
        <v>93</v>
      </c>
      <c r="C3826" t="s">
        <v>106</v>
      </c>
      <c r="D3826" s="8">
        <v>146.91999999999999</v>
      </c>
    </row>
    <row r="3827" spans="1:4" x14ac:dyDescent="0.45">
      <c r="A3827" s="7">
        <v>45625</v>
      </c>
      <c r="B3827" t="s">
        <v>95</v>
      </c>
      <c r="C3827" t="s">
        <v>105</v>
      </c>
      <c r="D3827" s="8">
        <v>249.41</v>
      </c>
    </row>
    <row r="3828" spans="1:4" x14ac:dyDescent="0.45">
      <c r="A3828" s="7">
        <v>46065</v>
      </c>
      <c r="B3828" t="s">
        <v>93</v>
      </c>
      <c r="C3828" t="s">
        <v>100</v>
      </c>
      <c r="D3828" s="8">
        <v>137.19999999999999</v>
      </c>
    </row>
    <row r="3829" spans="1:4" x14ac:dyDescent="0.45">
      <c r="A3829" s="7">
        <v>45708</v>
      </c>
      <c r="B3829" t="s">
        <v>93</v>
      </c>
      <c r="C3829" t="s">
        <v>94</v>
      </c>
      <c r="D3829" s="8">
        <v>25.48</v>
      </c>
    </row>
    <row r="3830" spans="1:4" x14ac:dyDescent="0.45">
      <c r="A3830" s="7">
        <v>45830</v>
      </c>
      <c r="B3830" t="s">
        <v>95</v>
      </c>
      <c r="C3830" t="s">
        <v>108</v>
      </c>
      <c r="D3830" s="8">
        <v>170.22</v>
      </c>
    </row>
    <row r="3831" spans="1:4" x14ac:dyDescent="0.45">
      <c r="A3831" s="7">
        <v>45950</v>
      </c>
      <c r="B3831" t="s">
        <v>95</v>
      </c>
      <c r="C3831" t="s">
        <v>109</v>
      </c>
      <c r="D3831" s="8">
        <v>-52.57</v>
      </c>
    </row>
    <row r="3832" spans="1:4" x14ac:dyDescent="0.45">
      <c r="A3832" s="7">
        <v>45506</v>
      </c>
      <c r="B3832" t="s">
        <v>93</v>
      </c>
      <c r="C3832" t="s">
        <v>106</v>
      </c>
      <c r="D3832" s="8">
        <v>-67.97</v>
      </c>
    </row>
    <row r="3833" spans="1:4" x14ac:dyDescent="0.45">
      <c r="A3833" s="7">
        <v>45612</v>
      </c>
      <c r="B3833" t="s">
        <v>95</v>
      </c>
      <c r="C3833" t="s">
        <v>108</v>
      </c>
      <c r="D3833" s="8">
        <v>-6.8</v>
      </c>
    </row>
    <row r="3834" spans="1:4" x14ac:dyDescent="0.45">
      <c r="A3834" s="7">
        <v>45530</v>
      </c>
      <c r="B3834" t="s">
        <v>97</v>
      </c>
      <c r="C3834" t="s">
        <v>101</v>
      </c>
      <c r="D3834" s="8">
        <v>174.62</v>
      </c>
    </row>
    <row r="3835" spans="1:4" x14ac:dyDescent="0.45">
      <c r="A3835" s="7">
        <v>45893</v>
      </c>
      <c r="B3835" t="s">
        <v>95</v>
      </c>
      <c r="C3835" t="s">
        <v>99</v>
      </c>
      <c r="D3835" s="8">
        <v>1.99</v>
      </c>
    </row>
    <row r="3836" spans="1:4" x14ac:dyDescent="0.45">
      <c r="A3836" s="7">
        <v>46119</v>
      </c>
      <c r="B3836" t="s">
        <v>95</v>
      </c>
      <c r="C3836" t="s">
        <v>105</v>
      </c>
      <c r="D3836" s="8">
        <v>188.43</v>
      </c>
    </row>
    <row r="3837" spans="1:4" x14ac:dyDescent="0.45">
      <c r="A3837" s="7">
        <v>45491</v>
      </c>
      <c r="B3837" t="s">
        <v>97</v>
      </c>
      <c r="C3837" t="s">
        <v>104</v>
      </c>
      <c r="D3837" s="8">
        <v>352.58</v>
      </c>
    </row>
    <row r="3838" spans="1:4" x14ac:dyDescent="0.45">
      <c r="A3838" s="7">
        <v>46014</v>
      </c>
      <c r="B3838" t="s">
        <v>97</v>
      </c>
      <c r="C3838" t="s">
        <v>101</v>
      </c>
      <c r="D3838" s="8">
        <v>-71.95</v>
      </c>
    </row>
    <row r="3839" spans="1:4" x14ac:dyDescent="0.45">
      <c r="A3839" s="7">
        <v>45997</v>
      </c>
      <c r="B3839" t="s">
        <v>93</v>
      </c>
      <c r="C3839" t="s">
        <v>106</v>
      </c>
      <c r="D3839" s="8">
        <v>338.91</v>
      </c>
    </row>
    <row r="3840" spans="1:4" x14ac:dyDescent="0.45">
      <c r="A3840" s="7">
        <v>45677</v>
      </c>
      <c r="B3840" t="s">
        <v>97</v>
      </c>
      <c r="C3840" t="s">
        <v>98</v>
      </c>
      <c r="D3840" s="8">
        <v>-9.26</v>
      </c>
    </row>
    <row r="3841" spans="1:4" x14ac:dyDescent="0.45">
      <c r="A3841" s="7">
        <v>46124</v>
      </c>
      <c r="B3841" t="s">
        <v>95</v>
      </c>
      <c r="C3841" t="s">
        <v>105</v>
      </c>
      <c r="D3841" s="8">
        <v>133.13999999999999</v>
      </c>
    </row>
    <row r="3842" spans="1:4" x14ac:dyDescent="0.45">
      <c r="A3842" s="7">
        <v>45418</v>
      </c>
      <c r="B3842" t="s">
        <v>95</v>
      </c>
      <c r="C3842" t="s">
        <v>108</v>
      </c>
      <c r="D3842" s="8">
        <v>307.14999999999998</v>
      </c>
    </row>
    <row r="3843" spans="1:4" x14ac:dyDescent="0.45">
      <c r="A3843" s="7">
        <v>46067</v>
      </c>
      <c r="B3843" t="s">
        <v>97</v>
      </c>
      <c r="C3843" t="s">
        <v>98</v>
      </c>
      <c r="D3843" s="8">
        <v>221.58</v>
      </c>
    </row>
    <row r="3844" spans="1:4" x14ac:dyDescent="0.45">
      <c r="A3844" s="7">
        <v>46084</v>
      </c>
      <c r="B3844" t="s">
        <v>97</v>
      </c>
      <c r="C3844" t="s">
        <v>107</v>
      </c>
      <c r="D3844" s="8">
        <v>-18.43</v>
      </c>
    </row>
    <row r="3845" spans="1:4" x14ac:dyDescent="0.45">
      <c r="A3845" s="7">
        <v>45413</v>
      </c>
      <c r="B3845" t="s">
        <v>95</v>
      </c>
      <c r="C3845" t="s">
        <v>108</v>
      </c>
      <c r="D3845" s="8">
        <v>23.35</v>
      </c>
    </row>
    <row r="3846" spans="1:4" x14ac:dyDescent="0.45">
      <c r="A3846" s="7">
        <v>45491</v>
      </c>
      <c r="B3846" t="s">
        <v>93</v>
      </c>
      <c r="C3846" t="s">
        <v>106</v>
      </c>
      <c r="D3846" s="8">
        <v>90.29</v>
      </c>
    </row>
    <row r="3847" spans="1:4" x14ac:dyDescent="0.45">
      <c r="A3847" s="7">
        <v>45492</v>
      </c>
      <c r="B3847" t="s">
        <v>97</v>
      </c>
      <c r="C3847" t="s">
        <v>104</v>
      </c>
      <c r="D3847" s="8">
        <v>190.9</v>
      </c>
    </row>
    <row r="3848" spans="1:4" x14ac:dyDescent="0.45">
      <c r="A3848" s="7">
        <v>45563</v>
      </c>
      <c r="B3848" t="s">
        <v>93</v>
      </c>
      <c r="C3848" t="s">
        <v>106</v>
      </c>
      <c r="D3848" s="8">
        <v>51.08</v>
      </c>
    </row>
    <row r="3849" spans="1:4" x14ac:dyDescent="0.45">
      <c r="A3849" s="7">
        <v>45616</v>
      </c>
      <c r="B3849" t="s">
        <v>93</v>
      </c>
      <c r="C3849" t="s">
        <v>100</v>
      </c>
      <c r="D3849" s="8">
        <v>246.23</v>
      </c>
    </row>
    <row r="3850" spans="1:4" x14ac:dyDescent="0.45">
      <c r="A3850" s="7">
        <v>45952</v>
      </c>
      <c r="B3850" t="s">
        <v>95</v>
      </c>
      <c r="C3850" t="s">
        <v>109</v>
      </c>
      <c r="D3850" s="8">
        <v>3.25</v>
      </c>
    </row>
    <row r="3851" spans="1:4" x14ac:dyDescent="0.45">
      <c r="A3851" s="7">
        <v>46123</v>
      </c>
      <c r="B3851" t="s">
        <v>93</v>
      </c>
      <c r="C3851" t="s">
        <v>106</v>
      </c>
      <c r="D3851" s="8">
        <v>23.85</v>
      </c>
    </row>
    <row r="3852" spans="1:4" x14ac:dyDescent="0.45">
      <c r="A3852" s="7">
        <v>45431</v>
      </c>
      <c r="B3852" t="s">
        <v>95</v>
      </c>
      <c r="C3852" t="s">
        <v>105</v>
      </c>
      <c r="D3852" s="8">
        <v>-126.91</v>
      </c>
    </row>
    <row r="3853" spans="1:4" x14ac:dyDescent="0.45">
      <c r="A3853" s="7">
        <v>45343</v>
      </c>
      <c r="B3853" t="s">
        <v>97</v>
      </c>
      <c r="C3853" t="s">
        <v>107</v>
      </c>
      <c r="D3853" s="8">
        <v>378.22</v>
      </c>
    </row>
    <row r="3854" spans="1:4" x14ac:dyDescent="0.45">
      <c r="A3854" s="7">
        <v>45918</v>
      </c>
      <c r="B3854" t="s">
        <v>97</v>
      </c>
      <c r="C3854" t="s">
        <v>101</v>
      </c>
      <c r="D3854" s="8">
        <v>-71.78</v>
      </c>
    </row>
    <row r="3855" spans="1:4" x14ac:dyDescent="0.45">
      <c r="A3855" s="7">
        <v>45742</v>
      </c>
      <c r="B3855" t="s">
        <v>95</v>
      </c>
      <c r="C3855" t="s">
        <v>108</v>
      </c>
      <c r="D3855" s="8">
        <v>45.63</v>
      </c>
    </row>
    <row r="3856" spans="1:4" x14ac:dyDescent="0.45">
      <c r="A3856" s="7">
        <v>46155</v>
      </c>
      <c r="B3856" t="s">
        <v>95</v>
      </c>
      <c r="C3856" t="s">
        <v>105</v>
      </c>
      <c r="D3856" s="8">
        <v>74.290000000000006</v>
      </c>
    </row>
    <row r="3857" spans="1:4" x14ac:dyDescent="0.45">
      <c r="A3857" s="7">
        <v>45722</v>
      </c>
      <c r="B3857" t="s">
        <v>97</v>
      </c>
      <c r="C3857" t="s">
        <v>107</v>
      </c>
      <c r="D3857" s="8">
        <v>456.19</v>
      </c>
    </row>
    <row r="3858" spans="1:4" x14ac:dyDescent="0.45">
      <c r="A3858" s="7">
        <v>46011</v>
      </c>
      <c r="B3858" t="s">
        <v>95</v>
      </c>
      <c r="C3858" t="s">
        <v>102</v>
      </c>
      <c r="D3858" s="8">
        <v>395.9</v>
      </c>
    </row>
    <row r="3859" spans="1:4" x14ac:dyDescent="0.45">
      <c r="A3859" s="7">
        <v>45987</v>
      </c>
      <c r="B3859" t="s">
        <v>97</v>
      </c>
      <c r="C3859" t="s">
        <v>104</v>
      </c>
      <c r="D3859" s="8">
        <v>-107.15</v>
      </c>
    </row>
    <row r="3860" spans="1:4" x14ac:dyDescent="0.45">
      <c r="A3860" s="7">
        <v>45934</v>
      </c>
      <c r="B3860" t="s">
        <v>95</v>
      </c>
      <c r="C3860" t="s">
        <v>109</v>
      </c>
      <c r="D3860" s="8">
        <v>112.44</v>
      </c>
    </row>
    <row r="3861" spans="1:4" x14ac:dyDescent="0.45">
      <c r="A3861" s="7">
        <v>45483</v>
      </c>
      <c r="B3861" t="s">
        <v>93</v>
      </c>
      <c r="C3861" t="s">
        <v>103</v>
      </c>
      <c r="D3861" s="8">
        <v>167.92</v>
      </c>
    </row>
    <row r="3862" spans="1:4" x14ac:dyDescent="0.45">
      <c r="A3862" s="7">
        <v>45583</v>
      </c>
      <c r="B3862" t="s">
        <v>93</v>
      </c>
      <c r="C3862" t="s">
        <v>100</v>
      </c>
      <c r="D3862" s="8">
        <v>407.18</v>
      </c>
    </row>
    <row r="3863" spans="1:4" x14ac:dyDescent="0.45">
      <c r="A3863" s="7">
        <v>45487</v>
      </c>
      <c r="B3863" t="s">
        <v>97</v>
      </c>
      <c r="C3863" t="s">
        <v>107</v>
      </c>
      <c r="D3863" s="8">
        <v>42.35</v>
      </c>
    </row>
    <row r="3864" spans="1:4" x14ac:dyDescent="0.45">
      <c r="A3864" s="7">
        <v>45299</v>
      </c>
      <c r="B3864" t="s">
        <v>93</v>
      </c>
      <c r="C3864" t="s">
        <v>106</v>
      </c>
      <c r="D3864" s="8">
        <v>227.56</v>
      </c>
    </row>
    <row r="3865" spans="1:4" x14ac:dyDescent="0.45">
      <c r="A3865" s="7">
        <v>45341</v>
      </c>
      <c r="B3865" t="s">
        <v>97</v>
      </c>
      <c r="C3865" t="s">
        <v>107</v>
      </c>
      <c r="D3865" s="8">
        <v>372.53</v>
      </c>
    </row>
    <row r="3866" spans="1:4" x14ac:dyDescent="0.45">
      <c r="A3866" s="7">
        <v>45447</v>
      </c>
      <c r="B3866" t="s">
        <v>97</v>
      </c>
      <c r="C3866" t="s">
        <v>107</v>
      </c>
      <c r="D3866" s="8">
        <v>379.05</v>
      </c>
    </row>
    <row r="3867" spans="1:4" x14ac:dyDescent="0.45">
      <c r="A3867" s="7">
        <v>45945</v>
      </c>
      <c r="B3867" t="s">
        <v>95</v>
      </c>
      <c r="C3867" t="s">
        <v>99</v>
      </c>
      <c r="D3867" s="8">
        <v>499.79</v>
      </c>
    </row>
    <row r="3868" spans="1:4" x14ac:dyDescent="0.45">
      <c r="A3868" s="7">
        <v>45611</v>
      </c>
      <c r="B3868" t="s">
        <v>95</v>
      </c>
      <c r="C3868" t="s">
        <v>102</v>
      </c>
      <c r="D3868" s="8">
        <v>-13.31</v>
      </c>
    </row>
    <row r="3869" spans="1:4" x14ac:dyDescent="0.45">
      <c r="A3869" s="7">
        <v>45702</v>
      </c>
      <c r="B3869" t="s">
        <v>95</v>
      </c>
      <c r="C3869" t="s">
        <v>102</v>
      </c>
      <c r="D3869" s="8">
        <v>385.62</v>
      </c>
    </row>
    <row r="3870" spans="1:4" x14ac:dyDescent="0.45">
      <c r="A3870" s="7">
        <v>46012</v>
      </c>
      <c r="B3870" t="s">
        <v>95</v>
      </c>
      <c r="C3870" t="s">
        <v>109</v>
      </c>
      <c r="D3870" s="8">
        <v>422.67</v>
      </c>
    </row>
    <row r="3871" spans="1:4" x14ac:dyDescent="0.45">
      <c r="A3871" s="7">
        <v>46114</v>
      </c>
      <c r="B3871" t="s">
        <v>97</v>
      </c>
      <c r="C3871" t="s">
        <v>104</v>
      </c>
      <c r="D3871" s="8">
        <v>104.52</v>
      </c>
    </row>
    <row r="3872" spans="1:4" x14ac:dyDescent="0.45">
      <c r="A3872" s="7">
        <v>45312</v>
      </c>
      <c r="B3872" t="s">
        <v>97</v>
      </c>
      <c r="C3872" t="s">
        <v>101</v>
      </c>
      <c r="D3872" s="8">
        <v>424.21</v>
      </c>
    </row>
    <row r="3873" spans="1:4" x14ac:dyDescent="0.45">
      <c r="A3873" s="7">
        <v>45558</v>
      </c>
      <c r="B3873" t="s">
        <v>95</v>
      </c>
      <c r="C3873" t="s">
        <v>102</v>
      </c>
      <c r="D3873" s="8">
        <v>324.05</v>
      </c>
    </row>
    <row r="3874" spans="1:4" x14ac:dyDescent="0.45">
      <c r="A3874" s="7">
        <v>45670</v>
      </c>
      <c r="B3874" t="s">
        <v>93</v>
      </c>
      <c r="C3874" t="s">
        <v>103</v>
      </c>
      <c r="D3874" s="8">
        <v>387.44</v>
      </c>
    </row>
    <row r="3875" spans="1:4" x14ac:dyDescent="0.45">
      <c r="A3875" s="7">
        <v>46086</v>
      </c>
      <c r="B3875" t="s">
        <v>93</v>
      </c>
      <c r="C3875" t="s">
        <v>106</v>
      </c>
      <c r="D3875" s="8">
        <v>422.93</v>
      </c>
    </row>
    <row r="3876" spans="1:4" x14ac:dyDescent="0.45">
      <c r="A3876" s="7">
        <v>45379</v>
      </c>
      <c r="B3876" t="s">
        <v>95</v>
      </c>
      <c r="C3876" t="s">
        <v>108</v>
      </c>
      <c r="D3876" s="8">
        <v>231.62</v>
      </c>
    </row>
    <row r="3877" spans="1:4" x14ac:dyDescent="0.45">
      <c r="A3877" s="7">
        <v>46046</v>
      </c>
      <c r="B3877" t="s">
        <v>97</v>
      </c>
      <c r="C3877" t="s">
        <v>104</v>
      </c>
      <c r="D3877" s="8">
        <v>95.65</v>
      </c>
    </row>
    <row r="3878" spans="1:4" x14ac:dyDescent="0.45">
      <c r="A3878" s="7">
        <v>45784</v>
      </c>
      <c r="B3878" t="s">
        <v>93</v>
      </c>
      <c r="C3878" t="s">
        <v>106</v>
      </c>
      <c r="D3878" s="8">
        <v>259.41000000000003</v>
      </c>
    </row>
    <row r="3879" spans="1:4" x14ac:dyDescent="0.45">
      <c r="A3879" s="7">
        <v>45708</v>
      </c>
      <c r="B3879" t="s">
        <v>97</v>
      </c>
      <c r="C3879" t="s">
        <v>104</v>
      </c>
      <c r="D3879" s="8">
        <v>151.61000000000001</v>
      </c>
    </row>
    <row r="3880" spans="1:4" x14ac:dyDescent="0.45">
      <c r="A3880" s="7">
        <v>45314</v>
      </c>
      <c r="B3880" t="s">
        <v>93</v>
      </c>
      <c r="C3880" t="s">
        <v>100</v>
      </c>
      <c r="D3880" s="8">
        <v>206.11</v>
      </c>
    </row>
    <row r="3881" spans="1:4" x14ac:dyDescent="0.45">
      <c r="A3881" s="7">
        <v>45930</v>
      </c>
      <c r="B3881" t="s">
        <v>97</v>
      </c>
      <c r="C3881" t="s">
        <v>104</v>
      </c>
      <c r="D3881" s="8">
        <v>-138.22999999999999</v>
      </c>
    </row>
    <row r="3882" spans="1:4" x14ac:dyDescent="0.45">
      <c r="A3882" s="7">
        <v>45395</v>
      </c>
      <c r="B3882" t="s">
        <v>97</v>
      </c>
      <c r="C3882" t="s">
        <v>104</v>
      </c>
      <c r="D3882" s="8">
        <v>-104.39</v>
      </c>
    </row>
    <row r="3883" spans="1:4" x14ac:dyDescent="0.45">
      <c r="A3883" s="7">
        <v>45636</v>
      </c>
      <c r="B3883" t="s">
        <v>95</v>
      </c>
      <c r="C3883" t="s">
        <v>105</v>
      </c>
      <c r="D3883" s="8">
        <v>44.5</v>
      </c>
    </row>
    <row r="3884" spans="1:4" x14ac:dyDescent="0.45">
      <c r="A3884" s="7">
        <v>45972</v>
      </c>
      <c r="B3884" t="s">
        <v>95</v>
      </c>
      <c r="C3884" t="s">
        <v>108</v>
      </c>
      <c r="D3884" s="8">
        <v>424.99</v>
      </c>
    </row>
    <row r="3885" spans="1:4" x14ac:dyDescent="0.45">
      <c r="A3885" s="7">
        <v>46068</v>
      </c>
      <c r="B3885" t="s">
        <v>93</v>
      </c>
      <c r="C3885" t="s">
        <v>94</v>
      </c>
      <c r="D3885" s="8">
        <v>219.91</v>
      </c>
    </row>
    <row r="3886" spans="1:4" x14ac:dyDescent="0.45">
      <c r="A3886" s="7">
        <v>45985</v>
      </c>
      <c r="B3886" t="s">
        <v>97</v>
      </c>
      <c r="C3886" t="s">
        <v>107</v>
      </c>
      <c r="D3886" s="8">
        <v>142.26</v>
      </c>
    </row>
    <row r="3887" spans="1:4" x14ac:dyDescent="0.45">
      <c r="A3887" s="7">
        <v>46100</v>
      </c>
      <c r="B3887" t="s">
        <v>95</v>
      </c>
      <c r="C3887" t="s">
        <v>102</v>
      </c>
      <c r="D3887" s="8">
        <v>180.89</v>
      </c>
    </row>
    <row r="3888" spans="1:4" x14ac:dyDescent="0.45">
      <c r="A3888" s="7">
        <v>45552</v>
      </c>
      <c r="B3888" t="s">
        <v>95</v>
      </c>
      <c r="C3888" t="s">
        <v>102</v>
      </c>
      <c r="D3888" s="8">
        <v>-110.57</v>
      </c>
    </row>
    <row r="3889" spans="1:4" x14ac:dyDescent="0.45">
      <c r="A3889" s="7">
        <v>45358</v>
      </c>
      <c r="B3889" t="s">
        <v>93</v>
      </c>
      <c r="C3889" t="s">
        <v>103</v>
      </c>
      <c r="D3889" s="8">
        <v>391.62</v>
      </c>
    </row>
    <row r="3890" spans="1:4" x14ac:dyDescent="0.45">
      <c r="A3890" s="7">
        <v>45804</v>
      </c>
      <c r="B3890" t="s">
        <v>93</v>
      </c>
      <c r="C3890" t="s">
        <v>103</v>
      </c>
      <c r="D3890" s="8">
        <v>-55.26</v>
      </c>
    </row>
    <row r="3891" spans="1:4" x14ac:dyDescent="0.45">
      <c r="A3891" s="7">
        <v>45982</v>
      </c>
      <c r="B3891" t="s">
        <v>95</v>
      </c>
      <c r="C3891" t="s">
        <v>109</v>
      </c>
      <c r="D3891" s="8">
        <v>454.71</v>
      </c>
    </row>
    <row r="3892" spans="1:4" x14ac:dyDescent="0.45">
      <c r="A3892" s="7">
        <v>45761</v>
      </c>
      <c r="B3892" t="s">
        <v>97</v>
      </c>
      <c r="C3892" t="s">
        <v>107</v>
      </c>
      <c r="D3892" s="8">
        <v>364.22</v>
      </c>
    </row>
    <row r="3893" spans="1:4" x14ac:dyDescent="0.45">
      <c r="A3893" s="7">
        <v>45931</v>
      </c>
      <c r="B3893" t="s">
        <v>97</v>
      </c>
      <c r="C3893" t="s">
        <v>98</v>
      </c>
      <c r="D3893" s="8">
        <v>349.71</v>
      </c>
    </row>
    <row r="3894" spans="1:4" x14ac:dyDescent="0.45">
      <c r="A3894" s="7">
        <v>45765</v>
      </c>
      <c r="B3894" t="s">
        <v>93</v>
      </c>
      <c r="C3894" t="s">
        <v>100</v>
      </c>
      <c r="D3894" s="8">
        <v>-88.16</v>
      </c>
    </row>
    <row r="3895" spans="1:4" x14ac:dyDescent="0.45">
      <c r="A3895" s="7">
        <v>45684</v>
      </c>
      <c r="B3895" t="s">
        <v>95</v>
      </c>
      <c r="C3895" t="s">
        <v>102</v>
      </c>
      <c r="D3895" s="8">
        <v>107.94</v>
      </c>
    </row>
    <row r="3896" spans="1:4" x14ac:dyDescent="0.45">
      <c r="A3896" s="7">
        <v>45303</v>
      </c>
      <c r="B3896" t="s">
        <v>95</v>
      </c>
      <c r="C3896" t="s">
        <v>108</v>
      </c>
      <c r="D3896" s="8">
        <v>328.16</v>
      </c>
    </row>
    <row r="3897" spans="1:4" x14ac:dyDescent="0.45">
      <c r="A3897" s="7">
        <v>45396</v>
      </c>
      <c r="B3897" t="s">
        <v>95</v>
      </c>
      <c r="C3897" t="s">
        <v>108</v>
      </c>
      <c r="D3897" s="8">
        <v>266.33</v>
      </c>
    </row>
    <row r="3898" spans="1:4" x14ac:dyDescent="0.45">
      <c r="A3898" s="7">
        <v>45706</v>
      </c>
      <c r="B3898" t="s">
        <v>95</v>
      </c>
      <c r="C3898" t="s">
        <v>96</v>
      </c>
      <c r="D3898" s="8">
        <v>402.25</v>
      </c>
    </row>
    <row r="3899" spans="1:4" x14ac:dyDescent="0.45">
      <c r="A3899" s="7">
        <v>45546</v>
      </c>
      <c r="B3899" t="s">
        <v>93</v>
      </c>
      <c r="C3899" t="s">
        <v>106</v>
      </c>
      <c r="D3899" s="8">
        <v>36.340000000000003</v>
      </c>
    </row>
    <row r="3900" spans="1:4" x14ac:dyDescent="0.45">
      <c r="A3900" s="7">
        <v>45792</v>
      </c>
      <c r="B3900" t="s">
        <v>93</v>
      </c>
      <c r="C3900" t="s">
        <v>106</v>
      </c>
      <c r="D3900" s="8">
        <v>68.819999999999993</v>
      </c>
    </row>
    <row r="3901" spans="1:4" x14ac:dyDescent="0.45">
      <c r="A3901" s="7">
        <v>45416</v>
      </c>
      <c r="B3901" t="s">
        <v>97</v>
      </c>
      <c r="C3901" t="s">
        <v>101</v>
      </c>
      <c r="D3901" s="8">
        <v>222.34</v>
      </c>
    </row>
    <row r="3902" spans="1:4" x14ac:dyDescent="0.45">
      <c r="A3902" s="7">
        <v>46101</v>
      </c>
      <c r="B3902" t="s">
        <v>95</v>
      </c>
      <c r="C3902" t="s">
        <v>96</v>
      </c>
      <c r="D3902" s="8">
        <v>469.15</v>
      </c>
    </row>
    <row r="3903" spans="1:4" x14ac:dyDescent="0.45">
      <c r="A3903" s="7">
        <v>45697</v>
      </c>
      <c r="B3903" t="s">
        <v>95</v>
      </c>
      <c r="C3903" t="s">
        <v>102</v>
      </c>
      <c r="D3903" s="8">
        <v>-73.28</v>
      </c>
    </row>
    <row r="3904" spans="1:4" x14ac:dyDescent="0.45">
      <c r="A3904" s="7">
        <v>45431</v>
      </c>
      <c r="B3904" t="s">
        <v>97</v>
      </c>
      <c r="C3904" t="s">
        <v>104</v>
      </c>
      <c r="D3904" s="8">
        <v>192.85</v>
      </c>
    </row>
    <row r="3905" spans="1:4" x14ac:dyDescent="0.45">
      <c r="A3905" s="7">
        <v>46009</v>
      </c>
      <c r="B3905" t="s">
        <v>97</v>
      </c>
      <c r="C3905" t="s">
        <v>107</v>
      </c>
      <c r="D3905" s="8">
        <v>-102.92</v>
      </c>
    </row>
    <row r="3906" spans="1:4" x14ac:dyDescent="0.45">
      <c r="A3906" s="7">
        <v>45882</v>
      </c>
      <c r="B3906" t="s">
        <v>93</v>
      </c>
      <c r="C3906" t="s">
        <v>106</v>
      </c>
      <c r="D3906" s="8">
        <v>106.85</v>
      </c>
    </row>
    <row r="3907" spans="1:4" x14ac:dyDescent="0.45">
      <c r="A3907" s="7">
        <v>45618</v>
      </c>
      <c r="B3907" t="s">
        <v>97</v>
      </c>
      <c r="C3907" t="s">
        <v>101</v>
      </c>
      <c r="D3907" s="8">
        <v>-118.96</v>
      </c>
    </row>
    <row r="3908" spans="1:4" x14ac:dyDescent="0.45">
      <c r="A3908" s="7">
        <v>45522</v>
      </c>
      <c r="B3908" t="s">
        <v>97</v>
      </c>
      <c r="C3908" t="s">
        <v>107</v>
      </c>
      <c r="D3908" s="8">
        <v>128.32</v>
      </c>
    </row>
    <row r="3909" spans="1:4" x14ac:dyDescent="0.45">
      <c r="A3909" s="7">
        <v>45695</v>
      </c>
      <c r="B3909" t="s">
        <v>97</v>
      </c>
      <c r="C3909" t="s">
        <v>104</v>
      </c>
      <c r="D3909" s="8">
        <v>178.01</v>
      </c>
    </row>
    <row r="3910" spans="1:4" x14ac:dyDescent="0.45">
      <c r="A3910" s="7">
        <v>46104</v>
      </c>
      <c r="B3910" t="s">
        <v>93</v>
      </c>
      <c r="C3910" t="s">
        <v>106</v>
      </c>
      <c r="D3910" s="8">
        <v>58.11</v>
      </c>
    </row>
    <row r="3911" spans="1:4" x14ac:dyDescent="0.45">
      <c r="A3911" s="7">
        <v>45829</v>
      </c>
      <c r="B3911" t="s">
        <v>95</v>
      </c>
      <c r="C3911" t="s">
        <v>96</v>
      </c>
      <c r="D3911" s="8">
        <v>308.20999999999998</v>
      </c>
    </row>
    <row r="3912" spans="1:4" x14ac:dyDescent="0.45">
      <c r="A3912" s="7">
        <v>45650</v>
      </c>
      <c r="B3912" t="s">
        <v>95</v>
      </c>
      <c r="C3912" t="s">
        <v>109</v>
      </c>
      <c r="D3912" s="8">
        <v>256.17</v>
      </c>
    </row>
    <row r="3913" spans="1:4" x14ac:dyDescent="0.45">
      <c r="A3913" s="7">
        <v>45996</v>
      </c>
      <c r="B3913" t="s">
        <v>97</v>
      </c>
      <c r="C3913" t="s">
        <v>107</v>
      </c>
      <c r="D3913" s="8">
        <v>245.55</v>
      </c>
    </row>
    <row r="3914" spans="1:4" x14ac:dyDescent="0.45">
      <c r="A3914" s="7">
        <v>45910</v>
      </c>
      <c r="B3914" t="s">
        <v>93</v>
      </c>
      <c r="C3914" t="s">
        <v>94</v>
      </c>
      <c r="D3914" s="8">
        <v>36.76</v>
      </c>
    </row>
    <row r="3915" spans="1:4" x14ac:dyDescent="0.45">
      <c r="A3915" s="7">
        <v>46101</v>
      </c>
      <c r="B3915" t="s">
        <v>95</v>
      </c>
      <c r="C3915" t="s">
        <v>108</v>
      </c>
      <c r="D3915" s="8">
        <v>194.38</v>
      </c>
    </row>
    <row r="3916" spans="1:4" x14ac:dyDescent="0.45">
      <c r="A3916" s="7">
        <v>46007</v>
      </c>
      <c r="B3916" t="s">
        <v>95</v>
      </c>
      <c r="C3916" t="s">
        <v>99</v>
      </c>
      <c r="D3916" s="8">
        <v>-34.99</v>
      </c>
    </row>
    <row r="3917" spans="1:4" x14ac:dyDescent="0.45">
      <c r="A3917" s="7">
        <v>45996</v>
      </c>
      <c r="B3917" t="s">
        <v>97</v>
      </c>
      <c r="C3917" t="s">
        <v>101</v>
      </c>
      <c r="D3917" s="8">
        <v>137.72</v>
      </c>
    </row>
    <row r="3918" spans="1:4" x14ac:dyDescent="0.45">
      <c r="A3918" s="7">
        <v>46061</v>
      </c>
      <c r="B3918" t="s">
        <v>95</v>
      </c>
      <c r="C3918" t="s">
        <v>96</v>
      </c>
      <c r="D3918" s="8">
        <v>322.18</v>
      </c>
    </row>
    <row r="3919" spans="1:4" x14ac:dyDescent="0.45">
      <c r="A3919" s="7">
        <v>45293</v>
      </c>
      <c r="B3919" t="s">
        <v>97</v>
      </c>
      <c r="C3919" t="s">
        <v>98</v>
      </c>
      <c r="D3919" s="8">
        <v>156.56</v>
      </c>
    </row>
    <row r="3920" spans="1:4" x14ac:dyDescent="0.45">
      <c r="A3920" s="7">
        <v>46062</v>
      </c>
      <c r="B3920" t="s">
        <v>95</v>
      </c>
      <c r="C3920" t="s">
        <v>105</v>
      </c>
      <c r="D3920" s="8">
        <v>231.28</v>
      </c>
    </row>
    <row r="3921" spans="1:4" x14ac:dyDescent="0.45">
      <c r="A3921" s="7">
        <v>45952</v>
      </c>
      <c r="B3921" t="s">
        <v>93</v>
      </c>
      <c r="C3921" t="s">
        <v>94</v>
      </c>
      <c r="D3921" s="8">
        <v>228.3</v>
      </c>
    </row>
    <row r="3922" spans="1:4" x14ac:dyDescent="0.45">
      <c r="A3922" s="7">
        <v>45352</v>
      </c>
      <c r="B3922" t="s">
        <v>97</v>
      </c>
      <c r="C3922" t="s">
        <v>104</v>
      </c>
      <c r="D3922" s="8">
        <v>477.48</v>
      </c>
    </row>
    <row r="3923" spans="1:4" x14ac:dyDescent="0.45">
      <c r="A3923" s="7">
        <v>45661</v>
      </c>
      <c r="B3923" t="s">
        <v>93</v>
      </c>
      <c r="C3923" t="s">
        <v>94</v>
      </c>
      <c r="D3923" s="8">
        <v>463.57</v>
      </c>
    </row>
    <row r="3924" spans="1:4" x14ac:dyDescent="0.45">
      <c r="A3924" s="7">
        <v>45405</v>
      </c>
      <c r="B3924" t="s">
        <v>97</v>
      </c>
      <c r="C3924" t="s">
        <v>101</v>
      </c>
      <c r="D3924" s="8">
        <v>252.94</v>
      </c>
    </row>
    <row r="3925" spans="1:4" x14ac:dyDescent="0.45">
      <c r="A3925" s="7">
        <v>45355</v>
      </c>
      <c r="B3925" t="s">
        <v>95</v>
      </c>
      <c r="C3925" t="s">
        <v>105</v>
      </c>
      <c r="D3925" s="8">
        <v>371.94</v>
      </c>
    </row>
    <row r="3926" spans="1:4" x14ac:dyDescent="0.45">
      <c r="A3926" s="7">
        <v>45736</v>
      </c>
      <c r="B3926" t="s">
        <v>93</v>
      </c>
      <c r="C3926" t="s">
        <v>106</v>
      </c>
      <c r="D3926" s="8">
        <v>165.99</v>
      </c>
    </row>
    <row r="3927" spans="1:4" x14ac:dyDescent="0.45">
      <c r="A3927" s="7">
        <v>45593</v>
      </c>
      <c r="B3927" t="s">
        <v>93</v>
      </c>
      <c r="C3927" t="s">
        <v>106</v>
      </c>
      <c r="D3927" s="8">
        <v>459.85</v>
      </c>
    </row>
    <row r="3928" spans="1:4" x14ac:dyDescent="0.45">
      <c r="A3928" s="7">
        <v>45978</v>
      </c>
      <c r="B3928" t="s">
        <v>97</v>
      </c>
      <c r="C3928" t="s">
        <v>104</v>
      </c>
      <c r="D3928" s="8">
        <v>168.29</v>
      </c>
    </row>
    <row r="3929" spans="1:4" x14ac:dyDescent="0.45">
      <c r="A3929" s="7">
        <v>45465</v>
      </c>
      <c r="B3929" t="s">
        <v>97</v>
      </c>
      <c r="C3929" t="s">
        <v>101</v>
      </c>
      <c r="D3929" s="8">
        <v>281.2</v>
      </c>
    </row>
    <row r="3930" spans="1:4" x14ac:dyDescent="0.45">
      <c r="A3930" s="7">
        <v>46090</v>
      </c>
      <c r="B3930" t="s">
        <v>95</v>
      </c>
      <c r="C3930" t="s">
        <v>109</v>
      </c>
      <c r="D3930" s="8">
        <v>171.25</v>
      </c>
    </row>
    <row r="3931" spans="1:4" x14ac:dyDescent="0.45">
      <c r="A3931" s="7">
        <v>46001</v>
      </c>
      <c r="B3931" t="s">
        <v>93</v>
      </c>
      <c r="C3931" t="s">
        <v>106</v>
      </c>
      <c r="D3931" s="8">
        <v>363.07</v>
      </c>
    </row>
    <row r="3932" spans="1:4" x14ac:dyDescent="0.45">
      <c r="A3932" s="7">
        <v>45839</v>
      </c>
      <c r="B3932" t="s">
        <v>95</v>
      </c>
      <c r="C3932" t="s">
        <v>102</v>
      </c>
      <c r="D3932" s="8">
        <v>10.15</v>
      </c>
    </row>
    <row r="3933" spans="1:4" x14ac:dyDescent="0.45">
      <c r="A3933" s="7">
        <v>45595</v>
      </c>
      <c r="B3933" t="s">
        <v>97</v>
      </c>
      <c r="C3933" t="s">
        <v>104</v>
      </c>
      <c r="D3933" s="8">
        <v>174.8</v>
      </c>
    </row>
    <row r="3934" spans="1:4" x14ac:dyDescent="0.45">
      <c r="A3934" s="7">
        <v>45720</v>
      </c>
      <c r="B3934" t="s">
        <v>93</v>
      </c>
      <c r="C3934" t="s">
        <v>103</v>
      </c>
      <c r="D3934" s="8">
        <v>49.16</v>
      </c>
    </row>
    <row r="3935" spans="1:4" x14ac:dyDescent="0.45">
      <c r="A3935" s="7">
        <v>45852</v>
      </c>
      <c r="B3935" t="s">
        <v>93</v>
      </c>
      <c r="C3935" t="s">
        <v>106</v>
      </c>
      <c r="D3935" s="8">
        <v>128.09</v>
      </c>
    </row>
    <row r="3936" spans="1:4" x14ac:dyDescent="0.45">
      <c r="A3936" s="7">
        <v>45294</v>
      </c>
      <c r="B3936" t="s">
        <v>95</v>
      </c>
      <c r="C3936" t="s">
        <v>99</v>
      </c>
      <c r="D3936" s="8">
        <v>364.08</v>
      </c>
    </row>
    <row r="3937" spans="1:4" x14ac:dyDescent="0.45">
      <c r="A3937" s="7">
        <v>45327</v>
      </c>
      <c r="B3937" t="s">
        <v>97</v>
      </c>
      <c r="C3937" t="s">
        <v>107</v>
      </c>
      <c r="D3937" s="8">
        <v>350.7</v>
      </c>
    </row>
    <row r="3938" spans="1:4" x14ac:dyDescent="0.45">
      <c r="A3938" s="7">
        <v>46041</v>
      </c>
      <c r="B3938" t="s">
        <v>95</v>
      </c>
      <c r="C3938" t="s">
        <v>96</v>
      </c>
      <c r="D3938" s="8">
        <v>241.86</v>
      </c>
    </row>
    <row r="3939" spans="1:4" x14ac:dyDescent="0.45">
      <c r="A3939" s="7">
        <v>45433</v>
      </c>
      <c r="B3939" t="s">
        <v>93</v>
      </c>
      <c r="C3939" t="s">
        <v>103</v>
      </c>
      <c r="D3939" s="8">
        <v>219.09</v>
      </c>
    </row>
    <row r="3940" spans="1:4" x14ac:dyDescent="0.45">
      <c r="A3940" s="7">
        <v>45922</v>
      </c>
      <c r="B3940" t="s">
        <v>95</v>
      </c>
      <c r="C3940" t="s">
        <v>105</v>
      </c>
      <c r="D3940" s="8">
        <v>176.88</v>
      </c>
    </row>
    <row r="3941" spans="1:4" x14ac:dyDescent="0.45">
      <c r="A3941" s="7">
        <v>45684</v>
      </c>
      <c r="B3941" t="s">
        <v>95</v>
      </c>
      <c r="C3941" t="s">
        <v>105</v>
      </c>
      <c r="D3941" s="8">
        <v>150.58000000000001</v>
      </c>
    </row>
    <row r="3942" spans="1:4" x14ac:dyDescent="0.45">
      <c r="A3942" s="7">
        <v>46023</v>
      </c>
      <c r="B3942" t="s">
        <v>93</v>
      </c>
      <c r="C3942" t="s">
        <v>94</v>
      </c>
      <c r="D3942" s="8">
        <v>-140.31</v>
      </c>
    </row>
    <row r="3943" spans="1:4" x14ac:dyDescent="0.45">
      <c r="A3943" s="7">
        <v>45993</v>
      </c>
      <c r="B3943" t="s">
        <v>95</v>
      </c>
      <c r="C3943" t="s">
        <v>102</v>
      </c>
      <c r="D3943" s="8">
        <v>465.79</v>
      </c>
    </row>
    <row r="3944" spans="1:4" x14ac:dyDescent="0.45">
      <c r="A3944" s="7">
        <v>45565</v>
      </c>
      <c r="B3944" t="s">
        <v>95</v>
      </c>
      <c r="C3944" t="s">
        <v>96</v>
      </c>
      <c r="D3944" s="8">
        <v>20.85</v>
      </c>
    </row>
    <row r="3945" spans="1:4" x14ac:dyDescent="0.45">
      <c r="A3945" s="7">
        <v>45701</v>
      </c>
      <c r="B3945" t="s">
        <v>97</v>
      </c>
      <c r="C3945" t="s">
        <v>107</v>
      </c>
      <c r="D3945" s="8">
        <v>404.19</v>
      </c>
    </row>
    <row r="3946" spans="1:4" x14ac:dyDescent="0.45">
      <c r="A3946" s="7">
        <v>45807</v>
      </c>
      <c r="B3946" t="s">
        <v>93</v>
      </c>
      <c r="C3946" t="s">
        <v>100</v>
      </c>
      <c r="D3946" s="8">
        <v>-30.94</v>
      </c>
    </row>
    <row r="3947" spans="1:4" x14ac:dyDescent="0.45">
      <c r="A3947" s="7">
        <v>46003</v>
      </c>
      <c r="B3947" t="s">
        <v>95</v>
      </c>
      <c r="C3947" t="s">
        <v>105</v>
      </c>
      <c r="D3947" s="8">
        <v>478.55</v>
      </c>
    </row>
    <row r="3948" spans="1:4" x14ac:dyDescent="0.45">
      <c r="A3948" s="7">
        <v>45870</v>
      </c>
      <c r="B3948" t="s">
        <v>93</v>
      </c>
      <c r="C3948" t="s">
        <v>100</v>
      </c>
      <c r="D3948" s="8">
        <v>471.38</v>
      </c>
    </row>
    <row r="3949" spans="1:4" x14ac:dyDescent="0.45">
      <c r="A3949" s="7">
        <v>45792</v>
      </c>
      <c r="B3949" t="s">
        <v>95</v>
      </c>
      <c r="C3949" t="s">
        <v>109</v>
      </c>
      <c r="D3949" s="8">
        <v>-4.7300000000000004</v>
      </c>
    </row>
    <row r="3950" spans="1:4" x14ac:dyDescent="0.45">
      <c r="A3950" s="7">
        <v>46172</v>
      </c>
      <c r="B3950" t="s">
        <v>93</v>
      </c>
      <c r="C3950" t="s">
        <v>106</v>
      </c>
      <c r="D3950" s="8">
        <v>208.35</v>
      </c>
    </row>
    <row r="3951" spans="1:4" x14ac:dyDescent="0.45">
      <c r="A3951" s="7">
        <v>45525</v>
      </c>
      <c r="B3951" t="s">
        <v>97</v>
      </c>
      <c r="C3951" t="s">
        <v>98</v>
      </c>
      <c r="D3951" s="8">
        <v>52.87</v>
      </c>
    </row>
    <row r="3952" spans="1:4" x14ac:dyDescent="0.45">
      <c r="A3952" s="7">
        <v>45373</v>
      </c>
      <c r="B3952" t="s">
        <v>97</v>
      </c>
      <c r="C3952" t="s">
        <v>101</v>
      </c>
      <c r="D3952" s="8">
        <v>391.04</v>
      </c>
    </row>
    <row r="3953" spans="1:4" x14ac:dyDescent="0.45">
      <c r="A3953" s="7">
        <v>46090</v>
      </c>
      <c r="B3953" t="s">
        <v>93</v>
      </c>
      <c r="C3953" t="s">
        <v>103</v>
      </c>
      <c r="D3953" s="8">
        <v>225.32</v>
      </c>
    </row>
    <row r="3954" spans="1:4" x14ac:dyDescent="0.45">
      <c r="A3954" s="7">
        <v>46180</v>
      </c>
      <c r="B3954" t="s">
        <v>93</v>
      </c>
      <c r="C3954" t="s">
        <v>103</v>
      </c>
      <c r="D3954" s="8">
        <v>178.45</v>
      </c>
    </row>
    <row r="3955" spans="1:4" x14ac:dyDescent="0.45">
      <c r="A3955" s="7">
        <v>45438</v>
      </c>
      <c r="B3955" t="s">
        <v>95</v>
      </c>
      <c r="C3955" t="s">
        <v>99</v>
      </c>
      <c r="D3955" s="8">
        <v>136.21</v>
      </c>
    </row>
    <row r="3956" spans="1:4" x14ac:dyDescent="0.45">
      <c r="A3956" s="7">
        <v>45881</v>
      </c>
      <c r="B3956" t="s">
        <v>95</v>
      </c>
      <c r="C3956" t="s">
        <v>109</v>
      </c>
      <c r="D3956" s="8">
        <v>304.60000000000002</v>
      </c>
    </row>
    <row r="3957" spans="1:4" x14ac:dyDescent="0.45">
      <c r="A3957" s="7">
        <v>45348</v>
      </c>
      <c r="B3957" t="s">
        <v>95</v>
      </c>
      <c r="C3957" t="s">
        <v>109</v>
      </c>
      <c r="D3957" s="8">
        <v>245.3</v>
      </c>
    </row>
    <row r="3958" spans="1:4" x14ac:dyDescent="0.45">
      <c r="A3958" s="7">
        <v>45885</v>
      </c>
      <c r="B3958" t="s">
        <v>97</v>
      </c>
      <c r="C3958" t="s">
        <v>107</v>
      </c>
      <c r="D3958" s="8">
        <v>-10.34</v>
      </c>
    </row>
    <row r="3959" spans="1:4" x14ac:dyDescent="0.45">
      <c r="A3959" s="7">
        <v>45520</v>
      </c>
      <c r="B3959" t="s">
        <v>97</v>
      </c>
      <c r="C3959" t="s">
        <v>104</v>
      </c>
      <c r="D3959" s="8">
        <v>349.72</v>
      </c>
    </row>
    <row r="3960" spans="1:4" x14ac:dyDescent="0.45">
      <c r="A3960" s="7">
        <v>45726</v>
      </c>
      <c r="B3960" t="s">
        <v>95</v>
      </c>
      <c r="C3960" t="s">
        <v>102</v>
      </c>
      <c r="D3960" s="8">
        <v>-75.430000000000007</v>
      </c>
    </row>
    <row r="3961" spans="1:4" x14ac:dyDescent="0.45">
      <c r="A3961" s="7">
        <v>45923</v>
      </c>
      <c r="B3961" t="s">
        <v>97</v>
      </c>
      <c r="C3961" t="s">
        <v>107</v>
      </c>
      <c r="D3961" s="8">
        <v>18.260000000000002</v>
      </c>
    </row>
    <row r="3962" spans="1:4" x14ac:dyDescent="0.45">
      <c r="A3962" s="7">
        <v>45310</v>
      </c>
      <c r="B3962" t="s">
        <v>93</v>
      </c>
      <c r="C3962" t="s">
        <v>103</v>
      </c>
      <c r="D3962" s="8">
        <v>198.05</v>
      </c>
    </row>
    <row r="3963" spans="1:4" x14ac:dyDescent="0.45">
      <c r="A3963" s="7">
        <v>45575</v>
      </c>
      <c r="B3963" t="s">
        <v>93</v>
      </c>
      <c r="C3963" t="s">
        <v>94</v>
      </c>
      <c r="D3963" s="8">
        <v>-93.2</v>
      </c>
    </row>
    <row r="3964" spans="1:4" x14ac:dyDescent="0.45">
      <c r="A3964" s="7">
        <v>45958</v>
      </c>
      <c r="B3964" t="s">
        <v>93</v>
      </c>
      <c r="C3964" t="s">
        <v>100</v>
      </c>
      <c r="D3964" s="8">
        <v>-19.760000000000002</v>
      </c>
    </row>
    <row r="3965" spans="1:4" x14ac:dyDescent="0.45">
      <c r="A3965" s="7">
        <v>46137</v>
      </c>
      <c r="B3965" t="s">
        <v>93</v>
      </c>
      <c r="C3965" t="s">
        <v>100</v>
      </c>
      <c r="D3965" s="8">
        <v>433.69</v>
      </c>
    </row>
    <row r="3966" spans="1:4" x14ac:dyDescent="0.45">
      <c r="A3966" s="7">
        <v>45681</v>
      </c>
      <c r="B3966" t="s">
        <v>95</v>
      </c>
      <c r="C3966" t="s">
        <v>96</v>
      </c>
      <c r="D3966" s="8">
        <v>-61.84</v>
      </c>
    </row>
    <row r="3967" spans="1:4" x14ac:dyDescent="0.45">
      <c r="A3967" s="7">
        <v>45915</v>
      </c>
      <c r="B3967" t="s">
        <v>93</v>
      </c>
      <c r="C3967" t="s">
        <v>103</v>
      </c>
      <c r="D3967" s="8">
        <v>99.99</v>
      </c>
    </row>
    <row r="3968" spans="1:4" x14ac:dyDescent="0.45">
      <c r="A3968" s="7">
        <v>45533</v>
      </c>
      <c r="B3968" t="s">
        <v>93</v>
      </c>
      <c r="C3968" t="s">
        <v>103</v>
      </c>
      <c r="D3968" s="8">
        <v>241.78</v>
      </c>
    </row>
    <row r="3969" spans="1:4" x14ac:dyDescent="0.45">
      <c r="A3969" s="7">
        <v>45431</v>
      </c>
      <c r="B3969" t="s">
        <v>95</v>
      </c>
      <c r="C3969" t="s">
        <v>102</v>
      </c>
      <c r="D3969" s="8">
        <v>-66.41</v>
      </c>
    </row>
    <row r="3970" spans="1:4" x14ac:dyDescent="0.45">
      <c r="A3970" s="7">
        <v>45380</v>
      </c>
      <c r="B3970" t="s">
        <v>93</v>
      </c>
      <c r="C3970" t="s">
        <v>106</v>
      </c>
      <c r="D3970" s="8">
        <v>-58</v>
      </c>
    </row>
    <row r="3971" spans="1:4" x14ac:dyDescent="0.45">
      <c r="A3971" s="7">
        <v>45360</v>
      </c>
      <c r="B3971" t="s">
        <v>95</v>
      </c>
      <c r="C3971" t="s">
        <v>105</v>
      </c>
      <c r="D3971" s="8">
        <v>389.92</v>
      </c>
    </row>
    <row r="3972" spans="1:4" x14ac:dyDescent="0.45">
      <c r="A3972" s="7">
        <v>45805</v>
      </c>
      <c r="B3972" t="s">
        <v>95</v>
      </c>
      <c r="C3972" t="s">
        <v>99</v>
      </c>
      <c r="D3972" s="8">
        <v>395.84</v>
      </c>
    </row>
    <row r="3973" spans="1:4" x14ac:dyDescent="0.45">
      <c r="A3973" s="7">
        <v>45962</v>
      </c>
      <c r="B3973" t="s">
        <v>93</v>
      </c>
      <c r="C3973" t="s">
        <v>103</v>
      </c>
      <c r="D3973" s="8">
        <v>63.51</v>
      </c>
    </row>
    <row r="3974" spans="1:4" x14ac:dyDescent="0.45">
      <c r="A3974" s="7">
        <v>45801</v>
      </c>
      <c r="B3974" t="s">
        <v>97</v>
      </c>
      <c r="C3974" t="s">
        <v>98</v>
      </c>
      <c r="D3974" s="8">
        <v>-75.650000000000006</v>
      </c>
    </row>
    <row r="3975" spans="1:4" x14ac:dyDescent="0.45">
      <c r="A3975" s="7">
        <v>45928</v>
      </c>
      <c r="B3975" t="s">
        <v>95</v>
      </c>
      <c r="C3975" t="s">
        <v>102</v>
      </c>
      <c r="D3975" s="8">
        <v>219.2</v>
      </c>
    </row>
    <row r="3976" spans="1:4" x14ac:dyDescent="0.45">
      <c r="A3976" s="7">
        <v>45379</v>
      </c>
      <c r="B3976" t="s">
        <v>93</v>
      </c>
      <c r="C3976" t="s">
        <v>106</v>
      </c>
      <c r="D3976" s="8">
        <v>134.38</v>
      </c>
    </row>
    <row r="3977" spans="1:4" x14ac:dyDescent="0.45">
      <c r="A3977" s="7">
        <v>45718</v>
      </c>
      <c r="B3977" t="s">
        <v>95</v>
      </c>
      <c r="C3977" t="s">
        <v>105</v>
      </c>
      <c r="D3977" s="8">
        <v>125.88</v>
      </c>
    </row>
    <row r="3978" spans="1:4" x14ac:dyDescent="0.45">
      <c r="A3978" s="7">
        <v>46128</v>
      </c>
      <c r="B3978" t="s">
        <v>95</v>
      </c>
      <c r="C3978" t="s">
        <v>102</v>
      </c>
      <c r="D3978" s="8">
        <v>377.42</v>
      </c>
    </row>
    <row r="3979" spans="1:4" x14ac:dyDescent="0.45">
      <c r="A3979" s="7">
        <v>46062</v>
      </c>
      <c r="B3979" t="s">
        <v>97</v>
      </c>
      <c r="C3979" t="s">
        <v>101</v>
      </c>
      <c r="D3979" s="8">
        <v>167.7</v>
      </c>
    </row>
    <row r="3980" spans="1:4" x14ac:dyDescent="0.45">
      <c r="A3980" s="7">
        <v>45957</v>
      </c>
      <c r="B3980" t="s">
        <v>93</v>
      </c>
      <c r="C3980" t="s">
        <v>103</v>
      </c>
      <c r="D3980" s="8">
        <v>343.88</v>
      </c>
    </row>
    <row r="3981" spans="1:4" x14ac:dyDescent="0.45">
      <c r="A3981" s="7">
        <v>45295</v>
      </c>
      <c r="B3981" t="s">
        <v>97</v>
      </c>
      <c r="C3981" t="s">
        <v>104</v>
      </c>
      <c r="D3981" s="8">
        <v>451.49</v>
      </c>
    </row>
    <row r="3982" spans="1:4" x14ac:dyDescent="0.45">
      <c r="A3982" s="7">
        <v>45778</v>
      </c>
      <c r="B3982" t="s">
        <v>93</v>
      </c>
      <c r="C3982" t="s">
        <v>103</v>
      </c>
      <c r="D3982" s="8">
        <v>-1.84</v>
      </c>
    </row>
    <row r="3983" spans="1:4" x14ac:dyDescent="0.45">
      <c r="A3983" s="7">
        <v>45312</v>
      </c>
      <c r="B3983" t="s">
        <v>93</v>
      </c>
      <c r="C3983" t="s">
        <v>106</v>
      </c>
      <c r="D3983" s="8">
        <v>419.18</v>
      </c>
    </row>
    <row r="3984" spans="1:4" x14ac:dyDescent="0.45">
      <c r="A3984" s="7">
        <v>45777</v>
      </c>
      <c r="B3984" t="s">
        <v>97</v>
      </c>
      <c r="C3984" t="s">
        <v>98</v>
      </c>
      <c r="D3984" s="8">
        <v>185.82</v>
      </c>
    </row>
    <row r="3985" spans="1:4" x14ac:dyDescent="0.45">
      <c r="A3985" s="7">
        <v>45333</v>
      </c>
      <c r="B3985" t="s">
        <v>95</v>
      </c>
      <c r="C3985" t="s">
        <v>102</v>
      </c>
      <c r="D3985" s="8">
        <v>190.14</v>
      </c>
    </row>
    <row r="3986" spans="1:4" x14ac:dyDescent="0.45">
      <c r="A3986" s="7">
        <v>45549</v>
      </c>
      <c r="B3986" t="s">
        <v>93</v>
      </c>
      <c r="C3986" t="s">
        <v>106</v>
      </c>
      <c r="D3986" s="8">
        <v>450.33</v>
      </c>
    </row>
    <row r="3987" spans="1:4" x14ac:dyDescent="0.45">
      <c r="A3987" s="7">
        <v>45672</v>
      </c>
      <c r="B3987" t="s">
        <v>97</v>
      </c>
      <c r="C3987" t="s">
        <v>107</v>
      </c>
      <c r="D3987" s="8">
        <v>202.41</v>
      </c>
    </row>
    <row r="3988" spans="1:4" x14ac:dyDescent="0.45">
      <c r="A3988" s="7">
        <v>46123</v>
      </c>
      <c r="B3988" t="s">
        <v>95</v>
      </c>
      <c r="C3988" t="s">
        <v>96</v>
      </c>
      <c r="D3988" s="8">
        <v>282.33</v>
      </c>
    </row>
    <row r="3989" spans="1:4" x14ac:dyDescent="0.45">
      <c r="A3989" s="7">
        <v>45731</v>
      </c>
      <c r="B3989" t="s">
        <v>95</v>
      </c>
      <c r="C3989" t="s">
        <v>99</v>
      </c>
      <c r="D3989" s="8">
        <v>-65.319999999999993</v>
      </c>
    </row>
    <row r="3990" spans="1:4" x14ac:dyDescent="0.45">
      <c r="A3990" s="7">
        <v>46117</v>
      </c>
      <c r="B3990" t="s">
        <v>93</v>
      </c>
      <c r="C3990" t="s">
        <v>94</v>
      </c>
      <c r="D3990" s="8">
        <v>-131.21</v>
      </c>
    </row>
    <row r="3991" spans="1:4" x14ac:dyDescent="0.45">
      <c r="A3991" s="7">
        <v>45885</v>
      </c>
      <c r="B3991" t="s">
        <v>97</v>
      </c>
      <c r="C3991" t="s">
        <v>104</v>
      </c>
      <c r="D3991" s="8">
        <v>-81.09</v>
      </c>
    </row>
    <row r="3992" spans="1:4" x14ac:dyDescent="0.45">
      <c r="A3992" s="7">
        <v>45411</v>
      </c>
      <c r="B3992" t="s">
        <v>97</v>
      </c>
      <c r="C3992" t="s">
        <v>101</v>
      </c>
      <c r="D3992" s="8">
        <v>475.51</v>
      </c>
    </row>
    <row r="3993" spans="1:4" x14ac:dyDescent="0.45">
      <c r="A3993" s="7">
        <v>46082</v>
      </c>
      <c r="B3993" t="s">
        <v>95</v>
      </c>
      <c r="C3993" t="s">
        <v>105</v>
      </c>
      <c r="D3993" s="8">
        <v>226.31</v>
      </c>
    </row>
    <row r="3994" spans="1:4" x14ac:dyDescent="0.45">
      <c r="A3994" s="7">
        <v>45640</v>
      </c>
      <c r="B3994" t="s">
        <v>93</v>
      </c>
      <c r="C3994" t="s">
        <v>103</v>
      </c>
      <c r="D3994" s="8">
        <v>213.32</v>
      </c>
    </row>
    <row r="3995" spans="1:4" x14ac:dyDescent="0.45">
      <c r="A3995" s="7">
        <v>45491</v>
      </c>
      <c r="B3995" t="s">
        <v>97</v>
      </c>
      <c r="C3995" t="s">
        <v>107</v>
      </c>
      <c r="D3995" s="8">
        <v>101.35</v>
      </c>
    </row>
    <row r="3996" spans="1:4" x14ac:dyDescent="0.45">
      <c r="A3996" s="7">
        <v>45340</v>
      </c>
      <c r="B3996" t="s">
        <v>97</v>
      </c>
      <c r="C3996" t="s">
        <v>107</v>
      </c>
      <c r="D3996" s="8">
        <v>21.93</v>
      </c>
    </row>
    <row r="3997" spans="1:4" x14ac:dyDescent="0.45">
      <c r="A3997" s="7">
        <v>45798</v>
      </c>
      <c r="B3997" t="s">
        <v>93</v>
      </c>
      <c r="C3997" t="s">
        <v>103</v>
      </c>
      <c r="D3997" s="8">
        <v>279.63</v>
      </c>
    </row>
    <row r="3998" spans="1:4" x14ac:dyDescent="0.45">
      <c r="A3998" s="7">
        <v>45346</v>
      </c>
      <c r="B3998" t="s">
        <v>93</v>
      </c>
      <c r="C3998" t="s">
        <v>94</v>
      </c>
      <c r="D3998" s="8">
        <v>11.61</v>
      </c>
    </row>
    <row r="3999" spans="1:4" x14ac:dyDescent="0.45">
      <c r="A3999" s="7">
        <v>45626</v>
      </c>
      <c r="B3999" t="s">
        <v>95</v>
      </c>
      <c r="C3999" t="s">
        <v>96</v>
      </c>
      <c r="D3999" s="8">
        <v>443.28</v>
      </c>
    </row>
    <row r="4000" spans="1:4" x14ac:dyDescent="0.45">
      <c r="A4000" s="7">
        <v>45523</v>
      </c>
      <c r="B4000" t="s">
        <v>93</v>
      </c>
      <c r="C4000" t="s">
        <v>94</v>
      </c>
      <c r="D4000" s="8">
        <v>325.99</v>
      </c>
    </row>
    <row r="4001" spans="1:4" x14ac:dyDescent="0.45">
      <c r="A4001" s="7">
        <v>46089</v>
      </c>
      <c r="B4001" t="s">
        <v>93</v>
      </c>
      <c r="C4001" t="s">
        <v>94</v>
      </c>
      <c r="D4001" s="8">
        <v>405.01</v>
      </c>
    </row>
    <row r="4002" spans="1:4" x14ac:dyDescent="0.45">
      <c r="A4002" s="7">
        <v>45648</v>
      </c>
      <c r="B4002" t="s">
        <v>93</v>
      </c>
      <c r="C4002" t="s">
        <v>100</v>
      </c>
      <c r="D4002" s="8">
        <v>196.6</v>
      </c>
    </row>
    <row r="4003" spans="1:4" x14ac:dyDescent="0.45">
      <c r="A4003" s="7">
        <v>45983</v>
      </c>
      <c r="B4003" t="s">
        <v>97</v>
      </c>
      <c r="C4003" t="s">
        <v>98</v>
      </c>
      <c r="D4003" s="8">
        <v>387.15</v>
      </c>
    </row>
    <row r="4004" spans="1:4" x14ac:dyDescent="0.45">
      <c r="A4004" s="7">
        <v>45322</v>
      </c>
      <c r="B4004" t="s">
        <v>93</v>
      </c>
      <c r="C4004" t="s">
        <v>106</v>
      </c>
      <c r="D4004" s="8">
        <v>-113.35</v>
      </c>
    </row>
    <row r="4005" spans="1:4" x14ac:dyDescent="0.45">
      <c r="A4005" s="7">
        <v>45527</v>
      </c>
      <c r="B4005" t="s">
        <v>95</v>
      </c>
      <c r="C4005" t="s">
        <v>99</v>
      </c>
      <c r="D4005" s="8">
        <v>351.8</v>
      </c>
    </row>
    <row r="4006" spans="1:4" x14ac:dyDescent="0.45">
      <c r="A4006" s="7">
        <v>45382</v>
      </c>
      <c r="B4006" t="s">
        <v>93</v>
      </c>
      <c r="C4006" t="s">
        <v>94</v>
      </c>
      <c r="D4006" s="8">
        <v>-77.95</v>
      </c>
    </row>
    <row r="4007" spans="1:4" x14ac:dyDescent="0.45">
      <c r="A4007" s="7">
        <v>45911</v>
      </c>
      <c r="B4007" t="s">
        <v>95</v>
      </c>
      <c r="C4007" t="s">
        <v>96</v>
      </c>
      <c r="D4007" s="8">
        <v>58.28</v>
      </c>
    </row>
    <row r="4008" spans="1:4" x14ac:dyDescent="0.45">
      <c r="A4008" s="7">
        <v>45989</v>
      </c>
      <c r="B4008" t="s">
        <v>93</v>
      </c>
      <c r="C4008" t="s">
        <v>100</v>
      </c>
      <c r="D4008" s="8">
        <v>193.09</v>
      </c>
    </row>
    <row r="4009" spans="1:4" x14ac:dyDescent="0.45">
      <c r="A4009" s="7">
        <v>45908</v>
      </c>
      <c r="B4009" t="s">
        <v>95</v>
      </c>
      <c r="C4009" t="s">
        <v>96</v>
      </c>
      <c r="D4009" s="8">
        <v>237.72</v>
      </c>
    </row>
    <row r="4010" spans="1:4" x14ac:dyDescent="0.45">
      <c r="A4010" s="7">
        <v>45788</v>
      </c>
      <c r="B4010" t="s">
        <v>93</v>
      </c>
      <c r="C4010" t="s">
        <v>103</v>
      </c>
      <c r="D4010" s="8">
        <v>-46.54</v>
      </c>
    </row>
    <row r="4011" spans="1:4" x14ac:dyDescent="0.45">
      <c r="A4011" s="7">
        <v>45785</v>
      </c>
      <c r="B4011" t="s">
        <v>93</v>
      </c>
      <c r="C4011" t="s">
        <v>100</v>
      </c>
      <c r="D4011" s="8">
        <v>40.64</v>
      </c>
    </row>
    <row r="4012" spans="1:4" x14ac:dyDescent="0.45">
      <c r="A4012" s="7">
        <v>45443</v>
      </c>
      <c r="B4012" t="s">
        <v>95</v>
      </c>
      <c r="C4012" t="s">
        <v>99</v>
      </c>
      <c r="D4012" s="8">
        <v>354.24</v>
      </c>
    </row>
    <row r="4013" spans="1:4" x14ac:dyDescent="0.45">
      <c r="A4013" s="7">
        <v>46033</v>
      </c>
      <c r="B4013" t="s">
        <v>97</v>
      </c>
      <c r="C4013" t="s">
        <v>98</v>
      </c>
      <c r="D4013" s="8">
        <v>-71.849999999999994</v>
      </c>
    </row>
    <row r="4014" spans="1:4" x14ac:dyDescent="0.45">
      <c r="A4014" s="7">
        <v>45334</v>
      </c>
      <c r="B4014" t="s">
        <v>95</v>
      </c>
      <c r="C4014" t="s">
        <v>102</v>
      </c>
      <c r="D4014" s="8">
        <v>420.6</v>
      </c>
    </row>
    <row r="4015" spans="1:4" x14ac:dyDescent="0.45">
      <c r="A4015" s="7">
        <v>45684</v>
      </c>
      <c r="B4015" t="s">
        <v>95</v>
      </c>
      <c r="C4015" t="s">
        <v>105</v>
      </c>
      <c r="D4015" s="8">
        <v>79.48</v>
      </c>
    </row>
    <row r="4016" spans="1:4" x14ac:dyDescent="0.45">
      <c r="A4016" s="7">
        <v>45798</v>
      </c>
      <c r="B4016" t="s">
        <v>93</v>
      </c>
      <c r="C4016" t="s">
        <v>100</v>
      </c>
      <c r="D4016" s="8">
        <v>-132.93</v>
      </c>
    </row>
    <row r="4017" spans="1:4" x14ac:dyDescent="0.45">
      <c r="A4017" s="7">
        <v>45535</v>
      </c>
      <c r="B4017" t="s">
        <v>93</v>
      </c>
      <c r="C4017" t="s">
        <v>94</v>
      </c>
      <c r="D4017" s="8">
        <v>328.48</v>
      </c>
    </row>
    <row r="4018" spans="1:4" x14ac:dyDescent="0.45">
      <c r="A4018" s="7">
        <v>45432</v>
      </c>
      <c r="B4018" t="s">
        <v>93</v>
      </c>
      <c r="C4018" t="s">
        <v>103</v>
      </c>
      <c r="D4018" s="8">
        <v>-128.94999999999999</v>
      </c>
    </row>
    <row r="4019" spans="1:4" x14ac:dyDescent="0.45">
      <c r="A4019" s="7">
        <v>45373</v>
      </c>
      <c r="B4019" t="s">
        <v>95</v>
      </c>
      <c r="C4019" t="s">
        <v>105</v>
      </c>
      <c r="D4019" s="8">
        <v>19.09</v>
      </c>
    </row>
    <row r="4020" spans="1:4" x14ac:dyDescent="0.45">
      <c r="A4020" s="7">
        <v>45367</v>
      </c>
      <c r="B4020" t="s">
        <v>97</v>
      </c>
      <c r="C4020" t="s">
        <v>98</v>
      </c>
      <c r="D4020" s="8">
        <v>407.51</v>
      </c>
    </row>
    <row r="4021" spans="1:4" x14ac:dyDescent="0.45">
      <c r="A4021" s="7">
        <v>45779</v>
      </c>
      <c r="B4021" t="s">
        <v>97</v>
      </c>
      <c r="C4021" t="s">
        <v>107</v>
      </c>
      <c r="D4021" s="8">
        <v>389.07</v>
      </c>
    </row>
    <row r="4022" spans="1:4" x14ac:dyDescent="0.45">
      <c r="A4022" s="7">
        <v>45536</v>
      </c>
      <c r="B4022" t="s">
        <v>93</v>
      </c>
      <c r="C4022" t="s">
        <v>106</v>
      </c>
      <c r="D4022" s="8">
        <v>124.04</v>
      </c>
    </row>
    <row r="4023" spans="1:4" x14ac:dyDescent="0.45">
      <c r="A4023" s="7">
        <v>46059</v>
      </c>
      <c r="B4023" t="s">
        <v>93</v>
      </c>
      <c r="C4023" t="s">
        <v>94</v>
      </c>
      <c r="D4023" s="8">
        <v>454.69</v>
      </c>
    </row>
    <row r="4024" spans="1:4" x14ac:dyDescent="0.45">
      <c r="A4024" s="7">
        <v>45341</v>
      </c>
      <c r="B4024" t="s">
        <v>97</v>
      </c>
      <c r="C4024" t="s">
        <v>98</v>
      </c>
      <c r="D4024" s="8">
        <v>80.23</v>
      </c>
    </row>
    <row r="4025" spans="1:4" x14ac:dyDescent="0.45">
      <c r="A4025" s="7">
        <v>46040</v>
      </c>
      <c r="B4025" t="s">
        <v>95</v>
      </c>
      <c r="C4025" t="s">
        <v>109</v>
      </c>
      <c r="D4025" s="8">
        <v>162.52000000000001</v>
      </c>
    </row>
    <row r="4026" spans="1:4" x14ac:dyDescent="0.45">
      <c r="A4026" s="7">
        <v>46098</v>
      </c>
      <c r="B4026" t="s">
        <v>95</v>
      </c>
      <c r="C4026" t="s">
        <v>105</v>
      </c>
      <c r="D4026" s="8">
        <v>238.9</v>
      </c>
    </row>
    <row r="4027" spans="1:4" x14ac:dyDescent="0.45">
      <c r="A4027" s="7">
        <v>45968</v>
      </c>
      <c r="B4027" t="s">
        <v>95</v>
      </c>
      <c r="C4027" t="s">
        <v>102</v>
      </c>
      <c r="D4027" s="8">
        <v>-48.91</v>
      </c>
    </row>
    <row r="4028" spans="1:4" x14ac:dyDescent="0.45">
      <c r="A4028" s="7">
        <v>45548</v>
      </c>
      <c r="B4028" t="s">
        <v>93</v>
      </c>
      <c r="C4028" t="s">
        <v>106</v>
      </c>
      <c r="D4028" s="8">
        <v>-106.17</v>
      </c>
    </row>
    <row r="4029" spans="1:4" x14ac:dyDescent="0.45">
      <c r="A4029" s="7">
        <v>45932</v>
      </c>
      <c r="B4029" t="s">
        <v>95</v>
      </c>
      <c r="C4029" t="s">
        <v>99</v>
      </c>
      <c r="D4029" s="8">
        <v>294.62</v>
      </c>
    </row>
    <row r="4030" spans="1:4" x14ac:dyDescent="0.45">
      <c r="A4030" s="7">
        <v>45898</v>
      </c>
      <c r="B4030" t="s">
        <v>93</v>
      </c>
      <c r="C4030" t="s">
        <v>103</v>
      </c>
      <c r="D4030" s="8">
        <v>369.89</v>
      </c>
    </row>
    <row r="4031" spans="1:4" x14ac:dyDescent="0.45">
      <c r="A4031" s="7">
        <v>45617</v>
      </c>
      <c r="B4031" t="s">
        <v>93</v>
      </c>
      <c r="C4031" t="s">
        <v>94</v>
      </c>
      <c r="D4031" s="8">
        <v>63.96</v>
      </c>
    </row>
    <row r="4032" spans="1:4" x14ac:dyDescent="0.45">
      <c r="A4032" s="7">
        <v>45760</v>
      </c>
      <c r="B4032" t="s">
        <v>93</v>
      </c>
      <c r="C4032" t="s">
        <v>106</v>
      </c>
      <c r="D4032" s="8">
        <v>437.95</v>
      </c>
    </row>
    <row r="4033" spans="1:4" x14ac:dyDescent="0.45">
      <c r="A4033" s="7">
        <v>45349</v>
      </c>
      <c r="B4033" t="s">
        <v>93</v>
      </c>
      <c r="C4033" t="s">
        <v>94</v>
      </c>
      <c r="D4033" s="8">
        <v>159.46</v>
      </c>
    </row>
    <row r="4034" spans="1:4" x14ac:dyDescent="0.45">
      <c r="A4034" s="7">
        <v>46051</v>
      </c>
      <c r="B4034" t="s">
        <v>97</v>
      </c>
      <c r="C4034" t="s">
        <v>107</v>
      </c>
      <c r="D4034" s="8">
        <v>-126.25</v>
      </c>
    </row>
    <row r="4035" spans="1:4" x14ac:dyDescent="0.45">
      <c r="A4035" s="7">
        <v>45572</v>
      </c>
      <c r="B4035" t="s">
        <v>95</v>
      </c>
      <c r="C4035" t="s">
        <v>108</v>
      </c>
      <c r="D4035" s="8">
        <v>73.91</v>
      </c>
    </row>
    <row r="4036" spans="1:4" x14ac:dyDescent="0.45">
      <c r="A4036" s="7">
        <v>45925</v>
      </c>
      <c r="B4036" t="s">
        <v>95</v>
      </c>
      <c r="C4036" t="s">
        <v>99</v>
      </c>
      <c r="D4036" s="8">
        <v>-101.11</v>
      </c>
    </row>
    <row r="4037" spans="1:4" x14ac:dyDescent="0.45">
      <c r="A4037" s="7">
        <v>45320</v>
      </c>
      <c r="B4037" t="s">
        <v>95</v>
      </c>
      <c r="C4037" t="s">
        <v>108</v>
      </c>
      <c r="D4037" s="8">
        <v>-145.09</v>
      </c>
    </row>
    <row r="4038" spans="1:4" x14ac:dyDescent="0.45">
      <c r="A4038" s="7">
        <v>45542</v>
      </c>
      <c r="B4038" t="s">
        <v>95</v>
      </c>
      <c r="C4038" t="s">
        <v>109</v>
      </c>
      <c r="D4038" s="8">
        <v>-49.43</v>
      </c>
    </row>
    <row r="4039" spans="1:4" x14ac:dyDescent="0.45">
      <c r="A4039" s="7">
        <v>45495</v>
      </c>
      <c r="B4039" t="s">
        <v>93</v>
      </c>
      <c r="C4039" t="s">
        <v>94</v>
      </c>
      <c r="D4039" s="8">
        <v>-2.15</v>
      </c>
    </row>
    <row r="4040" spans="1:4" x14ac:dyDescent="0.45">
      <c r="A4040" s="7">
        <v>46043</v>
      </c>
      <c r="B4040" t="s">
        <v>93</v>
      </c>
      <c r="C4040" t="s">
        <v>94</v>
      </c>
      <c r="D4040" s="8">
        <v>-20.32</v>
      </c>
    </row>
    <row r="4041" spans="1:4" x14ac:dyDescent="0.45">
      <c r="A4041" s="7">
        <v>45344</v>
      </c>
      <c r="B4041" t="s">
        <v>97</v>
      </c>
      <c r="C4041" t="s">
        <v>104</v>
      </c>
      <c r="D4041" s="8">
        <v>309.07</v>
      </c>
    </row>
    <row r="4042" spans="1:4" x14ac:dyDescent="0.45">
      <c r="A4042" s="7">
        <v>45651</v>
      </c>
      <c r="B4042" t="s">
        <v>93</v>
      </c>
      <c r="C4042" t="s">
        <v>106</v>
      </c>
      <c r="D4042" s="8">
        <v>270.06</v>
      </c>
    </row>
    <row r="4043" spans="1:4" x14ac:dyDescent="0.45">
      <c r="A4043" s="7">
        <v>46003</v>
      </c>
      <c r="B4043" t="s">
        <v>93</v>
      </c>
      <c r="C4043" t="s">
        <v>94</v>
      </c>
      <c r="D4043" s="8">
        <v>420.38</v>
      </c>
    </row>
    <row r="4044" spans="1:4" x14ac:dyDescent="0.45">
      <c r="A4044" s="7">
        <v>45787</v>
      </c>
      <c r="B4044" t="s">
        <v>95</v>
      </c>
      <c r="C4044" t="s">
        <v>109</v>
      </c>
      <c r="D4044" s="8">
        <v>323.85000000000002</v>
      </c>
    </row>
    <row r="4045" spans="1:4" x14ac:dyDescent="0.45">
      <c r="A4045" s="7">
        <v>45351</v>
      </c>
      <c r="B4045" t="s">
        <v>93</v>
      </c>
      <c r="C4045" t="s">
        <v>94</v>
      </c>
      <c r="D4045" s="8">
        <v>423.29</v>
      </c>
    </row>
    <row r="4046" spans="1:4" x14ac:dyDescent="0.45">
      <c r="A4046" s="7">
        <v>46079</v>
      </c>
      <c r="B4046" t="s">
        <v>93</v>
      </c>
      <c r="C4046" t="s">
        <v>106</v>
      </c>
      <c r="D4046" s="8">
        <v>73</v>
      </c>
    </row>
    <row r="4047" spans="1:4" x14ac:dyDescent="0.45">
      <c r="A4047" s="7">
        <v>45943</v>
      </c>
      <c r="B4047" t="s">
        <v>97</v>
      </c>
      <c r="C4047" t="s">
        <v>107</v>
      </c>
      <c r="D4047" s="8">
        <v>-125.58</v>
      </c>
    </row>
    <row r="4048" spans="1:4" x14ac:dyDescent="0.45">
      <c r="A4048" s="7">
        <v>45883</v>
      </c>
      <c r="B4048" t="s">
        <v>97</v>
      </c>
      <c r="C4048" t="s">
        <v>104</v>
      </c>
      <c r="D4048" s="8">
        <v>112.09</v>
      </c>
    </row>
    <row r="4049" spans="1:4" x14ac:dyDescent="0.45">
      <c r="A4049" s="7">
        <v>45663</v>
      </c>
      <c r="B4049" t="s">
        <v>97</v>
      </c>
      <c r="C4049" t="s">
        <v>101</v>
      </c>
      <c r="D4049" s="8">
        <v>277.95999999999998</v>
      </c>
    </row>
    <row r="4050" spans="1:4" x14ac:dyDescent="0.45">
      <c r="A4050" s="7">
        <v>45433</v>
      </c>
      <c r="B4050" t="s">
        <v>95</v>
      </c>
      <c r="C4050" t="s">
        <v>109</v>
      </c>
      <c r="D4050" s="8">
        <v>282.83</v>
      </c>
    </row>
    <row r="4051" spans="1:4" x14ac:dyDescent="0.45">
      <c r="A4051" s="7">
        <v>45765</v>
      </c>
      <c r="B4051" t="s">
        <v>93</v>
      </c>
      <c r="C4051" t="s">
        <v>94</v>
      </c>
      <c r="D4051" s="8">
        <v>488.21</v>
      </c>
    </row>
    <row r="4052" spans="1:4" x14ac:dyDescent="0.45">
      <c r="A4052" s="7">
        <v>45300</v>
      </c>
      <c r="B4052" t="s">
        <v>97</v>
      </c>
      <c r="C4052" t="s">
        <v>107</v>
      </c>
      <c r="D4052" s="8">
        <v>361.88</v>
      </c>
    </row>
    <row r="4053" spans="1:4" x14ac:dyDescent="0.45">
      <c r="A4053" s="7">
        <v>46005</v>
      </c>
      <c r="B4053" t="s">
        <v>93</v>
      </c>
      <c r="C4053" t="s">
        <v>106</v>
      </c>
      <c r="D4053" s="8">
        <v>294.06</v>
      </c>
    </row>
    <row r="4054" spans="1:4" x14ac:dyDescent="0.45">
      <c r="A4054" s="7">
        <v>45338</v>
      </c>
      <c r="B4054" t="s">
        <v>95</v>
      </c>
      <c r="C4054" t="s">
        <v>102</v>
      </c>
      <c r="D4054" s="8">
        <v>41.04</v>
      </c>
    </row>
    <row r="4055" spans="1:4" x14ac:dyDescent="0.45">
      <c r="A4055" s="7">
        <v>46104</v>
      </c>
      <c r="B4055" t="s">
        <v>95</v>
      </c>
      <c r="C4055" t="s">
        <v>96</v>
      </c>
      <c r="D4055" s="8">
        <v>-110.54</v>
      </c>
    </row>
    <row r="4056" spans="1:4" x14ac:dyDescent="0.45">
      <c r="A4056" s="7">
        <v>45601</v>
      </c>
      <c r="B4056" t="s">
        <v>97</v>
      </c>
      <c r="C4056" t="s">
        <v>101</v>
      </c>
      <c r="D4056" s="8">
        <v>-138.19</v>
      </c>
    </row>
    <row r="4057" spans="1:4" x14ac:dyDescent="0.45">
      <c r="A4057" s="7">
        <v>45916</v>
      </c>
      <c r="B4057" t="s">
        <v>93</v>
      </c>
      <c r="C4057" t="s">
        <v>94</v>
      </c>
      <c r="D4057" s="8">
        <v>27.91</v>
      </c>
    </row>
    <row r="4058" spans="1:4" x14ac:dyDescent="0.45">
      <c r="A4058" s="7">
        <v>45774</v>
      </c>
      <c r="B4058" t="s">
        <v>95</v>
      </c>
      <c r="C4058" t="s">
        <v>102</v>
      </c>
      <c r="D4058" s="8">
        <v>-52.75</v>
      </c>
    </row>
    <row r="4059" spans="1:4" x14ac:dyDescent="0.45">
      <c r="A4059" s="7">
        <v>45552</v>
      </c>
      <c r="B4059" t="s">
        <v>95</v>
      </c>
      <c r="C4059" t="s">
        <v>109</v>
      </c>
      <c r="D4059" s="8">
        <v>361.42</v>
      </c>
    </row>
    <row r="4060" spans="1:4" x14ac:dyDescent="0.45">
      <c r="A4060" s="7">
        <v>46177</v>
      </c>
      <c r="B4060" t="s">
        <v>93</v>
      </c>
      <c r="C4060" t="s">
        <v>106</v>
      </c>
      <c r="D4060" s="8">
        <v>210.76</v>
      </c>
    </row>
    <row r="4061" spans="1:4" x14ac:dyDescent="0.45">
      <c r="A4061" s="7">
        <v>45489</v>
      </c>
      <c r="B4061" t="s">
        <v>93</v>
      </c>
      <c r="C4061" t="s">
        <v>100</v>
      </c>
      <c r="D4061" s="8">
        <v>17.2</v>
      </c>
    </row>
    <row r="4062" spans="1:4" x14ac:dyDescent="0.45">
      <c r="A4062" s="7">
        <v>45436</v>
      </c>
      <c r="B4062" t="s">
        <v>93</v>
      </c>
      <c r="C4062" t="s">
        <v>106</v>
      </c>
      <c r="D4062" s="8">
        <v>393.5</v>
      </c>
    </row>
    <row r="4063" spans="1:4" x14ac:dyDescent="0.45">
      <c r="A4063" s="7">
        <v>46045</v>
      </c>
      <c r="B4063" t="s">
        <v>95</v>
      </c>
      <c r="C4063" t="s">
        <v>96</v>
      </c>
      <c r="D4063" s="8">
        <v>438.34</v>
      </c>
    </row>
    <row r="4064" spans="1:4" x14ac:dyDescent="0.45">
      <c r="A4064" s="7">
        <v>46191</v>
      </c>
      <c r="B4064" t="s">
        <v>97</v>
      </c>
      <c r="C4064" t="s">
        <v>98</v>
      </c>
      <c r="D4064" s="8">
        <v>54.88</v>
      </c>
    </row>
    <row r="4065" spans="1:4" x14ac:dyDescent="0.45">
      <c r="A4065" s="7">
        <v>45392</v>
      </c>
      <c r="B4065" t="s">
        <v>95</v>
      </c>
      <c r="C4065" t="s">
        <v>96</v>
      </c>
      <c r="D4065" s="8">
        <v>128.47999999999999</v>
      </c>
    </row>
    <row r="4066" spans="1:4" x14ac:dyDescent="0.45">
      <c r="A4066" s="7">
        <v>46034</v>
      </c>
      <c r="B4066" t="s">
        <v>97</v>
      </c>
      <c r="C4066" t="s">
        <v>98</v>
      </c>
      <c r="D4066" s="8">
        <v>-94.46</v>
      </c>
    </row>
    <row r="4067" spans="1:4" x14ac:dyDescent="0.45">
      <c r="A4067" s="7">
        <v>45638</v>
      </c>
      <c r="B4067" t="s">
        <v>95</v>
      </c>
      <c r="C4067" t="s">
        <v>102</v>
      </c>
      <c r="D4067" s="8">
        <v>382.16</v>
      </c>
    </row>
    <row r="4068" spans="1:4" x14ac:dyDescent="0.45">
      <c r="A4068" s="7">
        <v>46070</v>
      </c>
      <c r="B4068" t="s">
        <v>95</v>
      </c>
      <c r="C4068" t="s">
        <v>99</v>
      </c>
      <c r="D4068" s="8">
        <v>388.69</v>
      </c>
    </row>
    <row r="4069" spans="1:4" x14ac:dyDescent="0.45">
      <c r="A4069" s="7">
        <v>45414</v>
      </c>
      <c r="B4069" t="s">
        <v>93</v>
      </c>
      <c r="C4069" t="s">
        <v>103</v>
      </c>
      <c r="D4069" s="8">
        <v>412.7</v>
      </c>
    </row>
    <row r="4070" spans="1:4" x14ac:dyDescent="0.45">
      <c r="A4070" s="7">
        <v>45981</v>
      </c>
      <c r="B4070" t="s">
        <v>95</v>
      </c>
      <c r="C4070" t="s">
        <v>105</v>
      </c>
      <c r="D4070" s="8">
        <v>352.51</v>
      </c>
    </row>
    <row r="4071" spans="1:4" x14ac:dyDescent="0.45">
      <c r="A4071" s="7">
        <v>46018</v>
      </c>
      <c r="B4071" t="s">
        <v>93</v>
      </c>
      <c r="C4071" t="s">
        <v>94</v>
      </c>
      <c r="D4071" s="8">
        <v>496.89</v>
      </c>
    </row>
    <row r="4072" spans="1:4" x14ac:dyDescent="0.45">
      <c r="A4072" s="7">
        <v>45602</v>
      </c>
      <c r="B4072" t="s">
        <v>93</v>
      </c>
      <c r="C4072" t="s">
        <v>103</v>
      </c>
      <c r="D4072" s="8">
        <v>131.69999999999999</v>
      </c>
    </row>
    <row r="4073" spans="1:4" x14ac:dyDescent="0.45">
      <c r="A4073" s="7">
        <v>45948</v>
      </c>
      <c r="B4073" t="s">
        <v>95</v>
      </c>
      <c r="C4073" t="s">
        <v>99</v>
      </c>
      <c r="D4073" s="8">
        <v>209.25</v>
      </c>
    </row>
    <row r="4074" spans="1:4" x14ac:dyDescent="0.45">
      <c r="A4074" s="7">
        <v>45542</v>
      </c>
      <c r="B4074" t="s">
        <v>95</v>
      </c>
      <c r="C4074" t="s">
        <v>96</v>
      </c>
      <c r="D4074" s="8">
        <v>37.380000000000003</v>
      </c>
    </row>
    <row r="4075" spans="1:4" x14ac:dyDescent="0.45">
      <c r="A4075" s="7">
        <v>45486</v>
      </c>
      <c r="B4075" t="s">
        <v>97</v>
      </c>
      <c r="C4075" t="s">
        <v>98</v>
      </c>
      <c r="D4075" s="8">
        <v>243.12</v>
      </c>
    </row>
    <row r="4076" spans="1:4" x14ac:dyDescent="0.45">
      <c r="A4076" s="7">
        <v>45296</v>
      </c>
      <c r="B4076" t="s">
        <v>93</v>
      </c>
      <c r="C4076" t="s">
        <v>106</v>
      </c>
      <c r="D4076" s="8">
        <v>434.51</v>
      </c>
    </row>
    <row r="4077" spans="1:4" x14ac:dyDescent="0.45">
      <c r="A4077" s="7">
        <v>45439</v>
      </c>
      <c r="B4077" t="s">
        <v>93</v>
      </c>
      <c r="C4077" t="s">
        <v>100</v>
      </c>
      <c r="D4077" s="8">
        <v>356.81</v>
      </c>
    </row>
    <row r="4078" spans="1:4" x14ac:dyDescent="0.45">
      <c r="A4078" s="7">
        <v>45815</v>
      </c>
      <c r="B4078" t="s">
        <v>97</v>
      </c>
      <c r="C4078" t="s">
        <v>101</v>
      </c>
      <c r="D4078" s="8">
        <v>-104.99</v>
      </c>
    </row>
    <row r="4079" spans="1:4" x14ac:dyDescent="0.45">
      <c r="A4079" s="7">
        <v>46075</v>
      </c>
      <c r="B4079" t="s">
        <v>97</v>
      </c>
      <c r="C4079" t="s">
        <v>98</v>
      </c>
      <c r="D4079" s="8">
        <v>487.82</v>
      </c>
    </row>
    <row r="4080" spans="1:4" x14ac:dyDescent="0.45">
      <c r="A4080" s="7">
        <v>45740</v>
      </c>
      <c r="B4080" t="s">
        <v>95</v>
      </c>
      <c r="C4080" t="s">
        <v>96</v>
      </c>
      <c r="D4080" s="8">
        <v>275.73</v>
      </c>
    </row>
    <row r="4081" spans="1:4" x14ac:dyDescent="0.45">
      <c r="A4081" s="7">
        <v>46162</v>
      </c>
      <c r="B4081" t="s">
        <v>93</v>
      </c>
      <c r="C4081" t="s">
        <v>106</v>
      </c>
      <c r="D4081" s="8">
        <v>274.06</v>
      </c>
    </row>
    <row r="4082" spans="1:4" x14ac:dyDescent="0.45">
      <c r="A4082" s="7">
        <v>45905</v>
      </c>
      <c r="B4082" t="s">
        <v>97</v>
      </c>
      <c r="C4082" t="s">
        <v>107</v>
      </c>
      <c r="D4082" s="8">
        <v>411.99</v>
      </c>
    </row>
    <row r="4083" spans="1:4" x14ac:dyDescent="0.45">
      <c r="A4083" s="7">
        <v>45465</v>
      </c>
      <c r="B4083" t="s">
        <v>95</v>
      </c>
      <c r="C4083" t="s">
        <v>105</v>
      </c>
      <c r="D4083" s="8">
        <v>310.26</v>
      </c>
    </row>
    <row r="4084" spans="1:4" x14ac:dyDescent="0.45">
      <c r="A4084" s="7">
        <v>45873</v>
      </c>
      <c r="B4084" t="s">
        <v>97</v>
      </c>
      <c r="C4084" t="s">
        <v>107</v>
      </c>
      <c r="D4084" s="8">
        <v>16.96</v>
      </c>
    </row>
    <row r="4085" spans="1:4" x14ac:dyDescent="0.45">
      <c r="A4085" s="7">
        <v>45549</v>
      </c>
      <c r="B4085" t="s">
        <v>95</v>
      </c>
      <c r="C4085" t="s">
        <v>96</v>
      </c>
      <c r="D4085" s="8">
        <v>-144.41</v>
      </c>
    </row>
    <row r="4086" spans="1:4" x14ac:dyDescent="0.45">
      <c r="A4086" s="7">
        <v>46031</v>
      </c>
      <c r="B4086" t="s">
        <v>93</v>
      </c>
      <c r="C4086" t="s">
        <v>103</v>
      </c>
      <c r="D4086" s="8">
        <v>205.65</v>
      </c>
    </row>
    <row r="4087" spans="1:4" x14ac:dyDescent="0.45">
      <c r="A4087" s="7">
        <v>45371</v>
      </c>
      <c r="B4087" t="s">
        <v>95</v>
      </c>
      <c r="C4087" t="s">
        <v>105</v>
      </c>
      <c r="D4087" s="8">
        <v>312.39</v>
      </c>
    </row>
    <row r="4088" spans="1:4" x14ac:dyDescent="0.45">
      <c r="A4088" s="7">
        <v>45401</v>
      </c>
      <c r="B4088" t="s">
        <v>95</v>
      </c>
      <c r="C4088" t="s">
        <v>102</v>
      </c>
      <c r="D4088" s="8">
        <v>77.739999999999995</v>
      </c>
    </row>
    <row r="4089" spans="1:4" x14ac:dyDescent="0.45">
      <c r="A4089" s="7">
        <v>45337</v>
      </c>
      <c r="B4089" t="s">
        <v>97</v>
      </c>
      <c r="C4089" t="s">
        <v>101</v>
      </c>
      <c r="D4089" s="8">
        <v>205.27</v>
      </c>
    </row>
    <row r="4090" spans="1:4" x14ac:dyDescent="0.45">
      <c r="A4090" s="7">
        <v>45820</v>
      </c>
      <c r="B4090" t="s">
        <v>93</v>
      </c>
      <c r="C4090" t="s">
        <v>94</v>
      </c>
      <c r="D4090" s="8">
        <v>116.27</v>
      </c>
    </row>
    <row r="4091" spans="1:4" x14ac:dyDescent="0.45">
      <c r="A4091" s="7">
        <v>46006</v>
      </c>
      <c r="B4091" t="s">
        <v>93</v>
      </c>
      <c r="C4091" t="s">
        <v>100</v>
      </c>
      <c r="D4091" s="8">
        <v>-80.19</v>
      </c>
    </row>
    <row r="4092" spans="1:4" x14ac:dyDescent="0.45">
      <c r="A4092" s="7">
        <v>45490</v>
      </c>
      <c r="B4092" t="s">
        <v>93</v>
      </c>
      <c r="C4092" t="s">
        <v>106</v>
      </c>
      <c r="D4092" s="8">
        <v>381.07</v>
      </c>
    </row>
    <row r="4093" spans="1:4" x14ac:dyDescent="0.45">
      <c r="A4093" s="7">
        <v>45902</v>
      </c>
      <c r="B4093" t="s">
        <v>93</v>
      </c>
      <c r="C4093" t="s">
        <v>100</v>
      </c>
      <c r="D4093" s="8">
        <v>456.24</v>
      </c>
    </row>
    <row r="4094" spans="1:4" x14ac:dyDescent="0.45">
      <c r="A4094" s="7">
        <v>46108</v>
      </c>
      <c r="B4094" t="s">
        <v>95</v>
      </c>
      <c r="C4094" t="s">
        <v>108</v>
      </c>
      <c r="D4094" s="8">
        <v>-12.75</v>
      </c>
    </row>
    <row r="4095" spans="1:4" x14ac:dyDescent="0.45">
      <c r="A4095" s="7">
        <v>45926</v>
      </c>
      <c r="B4095" t="s">
        <v>95</v>
      </c>
      <c r="C4095" t="s">
        <v>99</v>
      </c>
      <c r="D4095" s="8">
        <v>197.99</v>
      </c>
    </row>
    <row r="4096" spans="1:4" x14ac:dyDescent="0.45">
      <c r="A4096" s="7">
        <v>45944</v>
      </c>
      <c r="B4096" t="s">
        <v>93</v>
      </c>
      <c r="C4096" t="s">
        <v>106</v>
      </c>
      <c r="D4096" s="8">
        <v>353.04</v>
      </c>
    </row>
    <row r="4097" spans="1:4" x14ac:dyDescent="0.45">
      <c r="A4097" s="7">
        <v>45628</v>
      </c>
      <c r="B4097" t="s">
        <v>95</v>
      </c>
      <c r="C4097" t="s">
        <v>105</v>
      </c>
      <c r="D4097" s="8">
        <v>-41.3</v>
      </c>
    </row>
    <row r="4098" spans="1:4" x14ac:dyDescent="0.45">
      <c r="A4098" s="7">
        <v>45474</v>
      </c>
      <c r="B4098" t="s">
        <v>95</v>
      </c>
      <c r="C4098" t="s">
        <v>105</v>
      </c>
      <c r="D4098" s="8">
        <v>-46.95</v>
      </c>
    </row>
    <row r="4099" spans="1:4" x14ac:dyDescent="0.45">
      <c r="A4099" s="7">
        <v>45844</v>
      </c>
      <c r="B4099" t="s">
        <v>93</v>
      </c>
      <c r="C4099" t="s">
        <v>94</v>
      </c>
      <c r="D4099" s="8">
        <v>-76.59</v>
      </c>
    </row>
    <row r="4100" spans="1:4" x14ac:dyDescent="0.45">
      <c r="A4100" s="7">
        <v>45360</v>
      </c>
      <c r="B4100" t="s">
        <v>97</v>
      </c>
      <c r="C4100" t="s">
        <v>107</v>
      </c>
      <c r="D4100" s="8">
        <v>46.92</v>
      </c>
    </row>
    <row r="4101" spans="1:4" x14ac:dyDescent="0.45">
      <c r="A4101" s="7">
        <v>45440</v>
      </c>
      <c r="B4101" t="s">
        <v>97</v>
      </c>
      <c r="C4101" t="s">
        <v>101</v>
      </c>
      <c r="D4101" s="8">
        <v>-28.61</v>
      </c>
    </row>
    <row r="4102" spans="1:4" x14ac:dyDescent="0.45">
      <c r="A4102" s="7">
        <v>45618</v>
      </c>
      <c r="B4102" t="s">
        <v>95</v>
      </c>
      <c r="C4102" t="s">
        <v>96</v>
      </c>
      <c r="D4102" s="8">
        <v>-143.88</v>
      </c>
    </row>
    <row r="4103" spans="1:4" x14ac:dyDescent="0.45">
      <c r="A4103" s="7">
        <v>46073</v>
      </c>
      <c r="B4103" t="s">
        <v>97</v>
      </c>
      <c r="C4103" t="s">
        <v>98</v>
      </c>
      <c r="D4103" s="8">
        <v>89.56</v>
      </c>
    </row>
    <row r="4104" spans="1:4" x14ac:dyDescent="0.45">
      <c r="A4104" s="7">
        <v>45659</v>
      </c>
      <c r="B4104" t="s">
        <v>93</v>
      </c>
      <c r="C4104" t="s">
        <v>103</v>
      </c>
      <c r="D4104" s="8">
        <v>-148.06</v>
      </c>
    </row>
    <row r="4105" spans="1:4" x14ac:dyDescent="0.45">
      <c r="A4105" s="7">
        <v>45892</v>
      </c>
      <c r="B4105" t="s">
        <v>93</v>
      </c>
      <c r="C4105" t="s">
        <v>106</v>
      </c>
      <c r="D4105" s="8">
        <v>95.3</v>
      </c>
    </row>
    <row r="4106" spans="1:4" x14ac:dyDescent="0.45">
      <c r="A4106" s="7">
        <v>46153</v>
      </c>
      <c r="B4106" t="s">
        <v>93</v>
      </c>
      <c r="C4106" t="s">
        <v>103</v>
      </c>
      <c r="D4106" s="8">
        <v>-134.61000000000001</v>
      </c>
    </row>
    <row r="4107" spans="1:4" x14ac:dyDescent="0.45">
      <c r="A4107" s="7">
        <v>45664</v>
      </c>
      <c r="B4107" t="s">
        <v>95</v>
      </c>
      <c r="C4107" t="s">
        <v>99</v>
      </c>
      <c r="D4107" s="8">
        <v>-44.02</v>
      </c>
    </row>
    <row r="4108" spans="1:4" x14ac:dyDescent="0.45">
      <c r="A4108" s="7">
        <v>45398</v>
      </c>
      <c r="B4108" t="s">
        <v>95</v>
      </c>
      <c r="C4108" t="s">
        <v>96</v>
      </c>
      <c r="D4108" s="8">
        <v>181.89</v>
      </c>
    </row>
    <row r="4109" spans="1:4" x14ac:dyDescent="0.45">
      <c r="A4109" s="7">
        <v>45783</v>
      </c>
      <c r="B4109" t="s">
        <v>97</v>
      </c>
      <c r="C4109" t="s">
        <v>101</v>
      </c>
      <c r="D4109" s="8">
        <v>59.29</v>
      </c>
    </row>
    <row r="4110" spans="1:4" x14ac:dyDescent="0.45">
      <c r="A4110" s="7">
        <v>45706</v>
      </c>
      <c r="B4110" t="s">
        <v>95</v>
      </c>
      <c r="C4110" t="s">
        <v>105</v>
      </c>
      <c r="D4110" s="8">
        <v>426.6</v>
      </c>
    </row>
    <row r="4111" spans="1:4" x14ac:dyDescent="0.45">
      <c r="A4111" s="7">
        <v>46001</v>
      </c>
      <c r="B4111" t="s">
        <v>95</v>
      </c>
      <c r="C4111" t="s">
        <v>109</v>
      </c>
      <c r="D4111" s="8">
        <v>399.3</v>
      </c>
    </row>
    <row r="4112" spans="1:4" x14ac:dyDescent="0.45">
      <c r="A4112" s="7">
        <v>45626</v>
      </c>
      <c r="B4112" t="s">
        <v>93</v>
      </c>
      <c r="C4112" t="s">
        <v>100</v>
      </c>
      <c r="D4112" s="8">
        <v>83.47</v>
      </c>
    </row>
    <row r="4113" spans="1:4" x14ac:dyDescent="0.45">
      <c r="A4113" s="7">
        <v>45368</v>
      </c>
      <c r="B4113" t="s">
        <v>97</v>
      </c>
      <c r="C4113" t="s">
        <v>101</v>
      </c>
      <c r="D4113" s="8">
        <v>413.09</v>
      </c>
    </row>
    <row r="4114" spans="1:4" x14ac:dyDescent="0.45">
      <c r="A4114" s="7">
        <v>45375</v>
      </c>
      <c r="B4114" t="s">
        <v>97</v>
      </c>
      <c r="C4114" t="s">
        <v>107</v>
      </c>
      <c r="D4114" s="8">
        <v>-130.6</v>
      </c>
    </row>
    <row r="4115" spans="1:4" x14ac:dyDescent="0.45">
      <c r="A4115" s="7">
        <v>45823</v>
      </c>
      <c r="B4115" t="s">
        <v>95</v>
      </c>
      <c r="C4115" t="s">
        <v>105</v>
      </c>
      <c r="D4115" s="8">
        <v>163.76</v>
      </c>
    </row>
    <row r="4116" spans="1:4" x14ac:dyDescent="0.45">
      <c r="A4116" s="7">
        <v>46086</v>
      </c>
      <c r="B4116" t="s">
        <v>93</v>
      </c>
      <c r="C4116" t="s">
        <v>100</v>
      </c>
      <c r="D4116" s="8">
        <v>376.44</v>
      </c>
    </row>
    <row r="4117" spans="1:4" x14ac:dyDescent="0.45">
      <c r="A4117" s="7">
        <v>45849</v>
      </c>
      <c r="B4117" t="s">
        <v>95</v>
      </c>
      <c r="C4117" t="s">
        <v>102</v>
      </c>
      <c r="D4117" s="8">
        <v>335.7</v>
      </c>
    </row>
    <row r="4118" spans="1:4" x14ac:dyDescent="0.45">
      <c r="A4118" s="7">
        <v>45529</v>
      </c>
      <c r="B4118" t="s">
        <v>93</v>
      </c>
      <c r="C4118" t="s">
        <v>100</v>
      </c>
      <c r="D4118" s="8">
        <v>419.89</v>
      </c>
    </row>
    <row r="4119" spans="1:4" x14ac:dyDescent="0.45">
      <c r="A4119" s="7">
        <v>45746</v>
      </c>
      <c r="B4119" t="s">
        <v>97</v>
      </c>
      <c r="C4119" t="s">
        <v>104</v>
      </c>
      <c r="D4119" s="8">
        <v>380.6</v>
      </c>
    </row>
    <row r="4120" spans="1:4" x14ac:dyDescent="0.45">
      <c r="A4120" s="7">
        <v>45667</v>
      </c>
      <c r="B4120" t="s">
        <v>93</v>
      </c>
      <c r="C4120" t="s">
        <v>103</v>
      </c>
      <c r="D4120" s="8">
        <v>159.15</v>
      </c>
    </row>
    <row r="4121" spans="1:4" x14ac:dyDescent="0.45">
      <c r="A4121" s="7">
        <v>45501</v>
      </c>
      <c r="B4121" t="s">
        <v>97</v>
      </c>
      <c r="C4121" t="s">
        <v>98</v>
      </c>
      <c r="D4121" s="8">
        <v>-59.01</v>
      </c>
    </row>
    <row r="4122" spans="1:4" x14ac:dyDescent="0.45">
      <c r="A4122" s="7">
        <v>45398</v>
      </c>
      <c r="B4122" t="s">
        <v>95</v>
      </c>
      <c r="C4122" t="s">
        <v>108</v>
      </c>
      <c r="D4122" s="8">
        <v>239.22</v>
      </c>
    </row>
    <row r="4123" spans="1:4" x14ac:dyDescent="0.45">
      <c r="A4123" s="7">
        <v>45528</v>
      </c>
      <c r="B4123" t="s">
        <v>97</v>
      </c>
      <c r="C4123" t="s">
        <v>101</v>
      </c>
      <c r="D4123" s="8">
        <v>305.27</v>
      </c>
    </row>
    <row r="4124" spans="1:4" x14ac:dyDescent="0.45">
      <c r="A4124" s="7">
        <v>45322</v>
      </c>
      <c r="B4124" t="s">
        <v>93</v>
      </c>
      <c r="C4124" t="s">
        <v>94</v>
      </c>
      <c r="D4124" s="8">
        <v>177.21</v>
      </c>
    </row>
    <row r="4125" spans="1:4" x14ac:dyDescent="0.45">
      <c r="A4125" s="7">
        <v>45849</v>
      </c>
      <c r="B4125" t="s">
        <v>95</v>
      </c>
      <c r="C4125" t="s">
        <v>108</v>
      </c>
      <c r="D4125" s="8">
        <v>196.01</v>
      </c>
    </row>
    <row r="4126" spans="1:4" x14ac:dyDescent="0.45">
      <c r="A4126" s="7">
        <v>46073</v>
      </c>
      <c r="B4126" t="s">
        <v>97</v>
      </c>
      <c r="C4126" t="s">
        <v>98</v>
      </c>
      <c r="D4126" s="8">
        <v>1.62</v>
      </c>
    </row>
    <row r="4127" spans="1:4" x14ac:dyDescent="0.45">
      <c r="A4127" s="7">
        <v>45418</v>
      </c>
      <c r="B4127" t="s">
        <v>93</v>
      </c>
      <c r="C4127" t="s">
        <v>106</v>
      </c>
      <c r="D4127" s="8">
        <v>-87.08</v>
      </c>
    </row>
    <row r="4128" spans="1:4" x14ac:dyDescent="0.45">
      <c r="A4128" s="7">
        <v>45435</v>
      </c>
      <c r="B4128" t="s">
        <v>97</v>
      </c>
      <c r="C4128" t="s">
        <v>101</v>
      </c>
      <c r="D4128" s="8">
        <v>199.09</v>
      </c>
    </row>
    <row r="4129" spans="1:4" x14ac:dyDescent="0.45">
      <c r="A4129" s="7">
        <v>45334</v>
      </c>
      <c r="B4129" t="s">
        <v>93</v>
      </c>
      <c r="C4129" t="s">
        <v>103</v>
      </c>
      <c r="D4129" s="8">
        <v>460.77</v>
      </c>
    </row>
    <row r="4130" spans="1:4" x14ac:dyDescent="0.45">
      <c r="A4130" s="7">
        <v>45371</v>
      </c>
      <c r="B4130" t="s">
        <v>93</v>
      </c>
      <c r="C4130" t="s">
        <v>100</v>
      </c>
      <c r="D4130" s="8">
        <v>59.85</v>
      </c>
    </row>
    <row r="4131" spans="1:4" x14ac:dyDescent="0.45">
      <c r="A4131" s="7">
        <v>45360</v>
      </c>
      <c r="B4131" t="s">
        <v>93</v>
      </c>
      <c r="C4131" t="s">
        <v>94</v>
      </c>
      <c r="D4131" s="8">
        <v>-110.8</v>
      </c>
    </row>
    <row r="4132" spans="1:4" x14ac:dyDescent="0.45">
      <c r="A4132" s="7">
        <v>45603</v>
      </c>
      <c r="B4132" t="s">
        <v>95</v>
      </c>
      <c r="C4132" t="s">
        <v>102</v>
      </c>
      <c r="D4132" s="8">
        <v>156.44999999999999</v>
      </c>
    </row>
    <row r="4133" spans="1:4" x14ac:dyDescent="0.45">
      <c r="A4133" s="7">
        <v>45609</v>
      </c>
      <c r="B4133" t="s">
        <v>95</v>
      </c>
      <c r="C4133" t="s">
        <v>105</v>
      </c>
      <c r="D4133" s="8">
        <v>-52.38</v>
      </c>
    </row>
    <row r="4134" spans="1:4" x14ac:dyDescent="0.45">
      <c r="A4134" s="7">
        <v>45426</v>
      </c>
      <c r="B4134" t="s">
        <v>95</v>
      </c>
      <c r="C4134" t="s">
        <v>102</v>
      </c>
      <c r="D4134" s="8">
        <v>-127.63</v>
      </c>
    </row>
    <row r="4135" spans="1:4" x14ac:dyDescent="0.45">
      <c r="A4135" s="7">
        <v>45797</v>
      </c>
      <c r="B4135" t="s">
        <v>93</v>
      </c>
      <c r="C4135" t="s">
        <v>106</v>
      </c>
      <c r="D4135" s="8">
        <v>118.36</v>
      </c>
    </row>
    <row r="4136" spans="1:4" x14ac:dyDescent="0.45">
      <c r="A4136" s="7">
        <v>45681</v>
      </c>
      <c r="B4136" t="s">
        <v>95</v>
      </c>
      <c r="C4136" t="s">
        <v>108</v>
      </c>
      <c r="D4136" s="8">
        <v>2.4</v>
      </c>
    </row>
    <row r="4137" spans="1:4" x14ac:dyDescent="0.45">
      <c r="A4137" s="7">
        <v>45305</v>
      </c>
      <c r="B4137" t="s">
        <v>97</v>
      </c>
      <c r="C4137" t="s">
        <v>101</v>
      </c>
      <c r="D4137" s="8">
        <v>474.47</v>
      </c>
    </row>
    <row r="4138" spans="1:4" x14ac:dyDescent="0.45">
      <c r="A4138" s="7">
        <v>45651</v>
      </c>
      <c r="B4138" t="s">
        <v>95</v>
      </c>
      <c r="C4138" t="s">
        <v>102</v>
      </c>
      <c r="D4138" s="8">
        <v>-149.53</v>
      </c>
    </row>
    <row r="4139" spans="1:4" x14ac:dyDescent="0.45">
      <c r="A4139" s="7">
        <v>45348</v>
      </c>
      <c r="B4139" t="s">
        <v>93</v>
      </c>
      <c r="C4139" t="s">
        <v>106</v>
      </c>
      <c r="D4139" s="8">
        <v>493.39</v>
      </c>
    </row>
    <row r="4140" spans="1:4" x14ac:dyDescent="0.45">
      <c r="A4140" s="7">
        <v>46169</v>
      </c>
      <c r="B4140" t="s">
        <v>95</v>
      </c>
      <c r="C4140" t="s">
        <v>105</v>
      </c>
      <c r="D4140" s="8">
        <v>306.88</v>
      </c>
    </row>
    <row r="4141" spans="1:4" x14ac:dyDescent="0.45">
      <c r="A4141" s="7">
        <v>45876</v>
      </c>
      <c r="B4141" t="s">
        <v>97</v>
      </c>
      <c r="C4141" t="s">
        <v>107</v>
      </c>
      <c r="D4141" s="8">
        <v>-37.590000000000003</v>
      </c>
    </row>
    <row r="4142" spans="1:4" x14ac:dyDescent="0.45">
      <c r="A4142" s="7">
        <v>46007</v>
      </c>
      <c r="B4142" t="s">
        <v>93</v>
      </c>
      <c r="C4142" t="s">
        <v>103</v>
      </c>
      <c r="D4142" s="8">
        <v>-137.68</v>
      </c>
    </row>
    <row r="4143" spans="1:4" x14ac:dyDescent="0.45">
      <c r="A4143" s="7">
        <v>45653</v>
      </c>
      <c r="B4143" t="s">
        <v>97</v>
      </c>
      <c r="C4143" t="s">
        <v>98</v>
      </c>
      <c r="D4143" s="8">
        <v>-57.51</v>
      </c>
    </row>
    <row r="4144" spans="1:4" x14ac:dyDescent="0.45">
      <c r="A4144" s="7">
        <v>45941</v>
      </c>
      <c r="B4144" t="s">
        <v>93</v>
      </c>
      <c r="C4144" t="s">
        <v>103</v>
      </c>
      <c r="D4144" s="8">
        <v>115.9</v>
      </c>
    </row>
    <row r="4145" spans="1:4" x14ac:dyDescent="0.45">
      <c r="A4145" s="7">
        <v>45496</v>
      </c>
      <c r="B4145" t="s">
        <v>97</v>
      </c>
      <c r="C4145" t="s">
        <v>104</v>
      </c>
      <c r="D4145" s="8">
        <v>131.59</v>
      </c>
    </row>
    <row r="4146" spans="1:4" x14ac:dyDescent="0.45">
      <c r="A4146" s="7">
        <v>46138</v>
      </c>
      <c r="B4146" t="s">
        <v>97</v>
      </c>
      <c r="C4146" t="s">
        <v>98</v>
      </c>
      <c r="D4146" s="8">
        <v>40.020000000000003</v>
      </c>
    </row>
    <row r="4147" spans="1:4" x14ac:dyDescent="0.45">
      <c r="A4147" s="7">
        <v>45551</v>
      </c>
      <c r="B4147" t="s">
        <v>97</v>
      </c>
      <c r="C4147" t="s">
        <v>107</v>
      </c>
      <c r="D4147" s="8">
        <v>338.72</v>
      </c>
    </row>
    <row r="4148" spans="1:4" x14ac:dyDescent="0.45">
      <c r="A4148" s="7">
        <v>45979</v>
      </c>
      <c r="B4148" t="s">
        <v>93</v>
      </c>
      <c r="C4148" t="s">
        <v>94</v>
      </c>
      <c r="D4148" s="8">
        <v>157.6</v>
      </c>
    </row>
    <row r="4149" spans="1:4" x14ac:dyDescent="0.45">
      <c r="A4149" s="7">
        <v>45939</v>
      </c>
      <c r="B4149" t="s">
        <v>93</v>
      </c>
      <c r="C4149" t="s">
        <v>103</v>
      </c>
      <c r="D4149" s="8">
        <v>50.57</v>
      </c>
    </row>
    <row r="4150" spans="1:4" x14ac:dyDescent="0.45">
      <c r="A4150" s="7">
        <v>46050</v>
      </c>
      <c r="B4150" t="s">
        <v>95</v>
      </c>
      <c r="C4150" t="s">
        <v>108</v>
      </c>
      <c r="D4150" s="8">
        <v>347.88</v>
      </c>
    </row>
    <row r="4151" spans="1:4" x14ac:dyDescent="0.45">
      <c r="A4151" s="7">
        <v>45756</v>
      </c>
      <c r="B4151" t="s">
        <v>95</v>
      </c>
      <c r="C4151" t="s">
        <v>99</v>
      </c>
      <c r="D4151" s="8">
        <v>2.5099999999999998</v>
      </c>
    </row>
    <row r="4152" spans="1:4" x14ac:dyDescent="0.45">
      <c r="A4152" s="7">
        <v>45612</v>
      </c>
      <c r="B4152" t="s">
        <v>97</v>
      </c>
      <c r="C4152" t="s">
        <v>107</v>
      </c>
      <c r="D4152" s="8">
        <v>13.75</v>
      </c>
    </row>
    <row r="4153" spans="1:4" x14ac:dyDescent="0.45">
      <c r="A4153" s="7">
        <v>45622</v>
      </c>
      <c r="B4153" t="s">
        <v>97</v>
      </c>
      <c r="C4153" t="s">
        <v>104</v>
      </c>
      <c r="D4153" s="8">
        <v>172.39</v>
      </c>
    </row>
    <row r="4154" spans="1:4" x14ac:dyDescent="0.45">
      <c r="A4154" s="7">
        <v>45924</v>
      </c>
      <c r="B4154" t="s">
        <v>93</v>
      </c>
      <c r="C4154" t="s">
        <v>100</v>
      </c>
      <c r="D4154" s="8">
        <v>357.85</v>
      </c>
    </row>
    <row r="4155" spans="1:4" x14ac:dyDescent="0.45">
      <c r="A4155" s="7">
        <v>45700</v>
      </c>
      <c r="B4155" t="s">
        <v>93</v>
      </c>
      <c r="C4155" t="s">
        <v>103</v>
      </c>
      <c r="D4155" s="8">
        <v>392.69</v>
      </c>
    </row>
    <row r="4156" spans="1:4" x14ac:dyDescent="0.45">
      <c r="A4156" s="7">
        <v>46156</v>
      </c>
      <c r="B4156" t="s">
        <v>93</v>
      </c>
      <c r="C4156" t="s">
        <v>100</v>
      </c>
      <c r="D4156" s="8">
        <v>291.22000000000003</v>
      </c>
    </row>
    <row r="4157" spans="1:4" x14ac:dyDescent="0.45">
      <c r="A4157" s="7">
        <v>46068</v>
      </c>
      <c r="B4157" t="s">
        <v>95</v>
      </c>
      <c r="C4157" t="s">
        <v>102</v>
      </c>
      <c r="D4157" s="8">
        <v>-4.24</v>
      </c>
    </row>
    <row r="4158" spans="1:4" x14ac:dyDescent="0.45">
      <c r="A4158" s="7">
        <v>45326</v>
      </c>
      <c r="B4158" t="s">
        <v>97</v>
      </c>
      <c r="C4158" t="s">
        <v>104</v>
      </c>
      <c r="D4158" s="8">
        <v>-11.33</v>
      </c>
    </row>
    <row r="4159" spans="1:4" x14ac:dyDescent="0.45">
      <c r="A4159" s="7">
        <v>46014</v>
      </c>
      <c r="B4159" t="s">
        <v>97</v>
      </c>
      <c r="C4159" t="s">
        <v>104</v>
      </c>
      <c r="D4159" s="8">
        <v>283.42</v>
      </c>
    </row>
    <row r="4160" spans="1:4" x14ac:dyDescent="0.45">
      <c r="A4160" s="7">
        <v>45411</v>
      </c>
      <c r="B4160" t="s">
        <v>93</v>
      </c>
      <c r="C4160" t="s">
        <v>106</v>
      </c>
      <c r="D4160" s="8">
        <v>367.07</v>
      </c>
    </row>
    <row r="4161" spans="1:4" x14ac:dyDescent="0.45">
      <c r="A4161" s="7">
        <v>45889</v>
      </c>
      <c r="B4161" t="s">
        <v>93</v>
      </c>
      <c r="C4161" t="s">
        <v>94</v>
      </c>
      <c r="D4161" s="8">
        <v>141.21</v>
      </c>
    </row>
    <row r="4162" spans="1:4" x14ac:dyDescent="0.45">
      <c r="A4162" s="7">
        <v>45365</v>
      </c>
      <c r="B4162" t="s">
        <v>97</v>
      </c>
      <c r="C4162" t="s">
        <v>104</v>
      </c>
      <c r="D4162" s="8">
        <v>159.08000000000001</v>
      </c>
    </row>
    <row r="4163" spans="1:4" x14ac:dyDescent="0.45">
      <c r="A4163" s="7">
        <v>45715</v>
      </c>
      <c r="B4163" t="s">
        <v>95</v>
      </c>
      <c r="C4163" t="s">
        <v>96</v>
      </c>
      <c r="D4163" s="8">
        <v>-23.27</v>
      </c>
    </row>
    <row r="4164" spans="1:4" x14ac:dyDescent="0.45">
      <c r="A4164" s="7">
        <v>45620</v>
      </c>
      <c r="B4164" t="s">
        <v>93</v>
      </c>
      <c r="C4164" t="s">
        <v>100</v>
      </c>
      <c r="D4164" s="8">
        <v>146.13999999999999</v>
      </c>
    </row>
    <row r="4165" spans="1:4" x14ac:dyDescent="0.45">
      <c r="A4165" s="7">
        <v>45407</v>
      </c>
      <c r="B4165" t="s">
        <v>93</v>
      </c>
      <c r="C4165" t="s">
        <v>94</v>
      </c>
      <c r="D4165" s="8">
        <v>299.04000000000002</v>
      </c>
    </row>
    <row r="4166" spans="1:4" x14ac:dyDescent="0.45">
      <c r="A4166" s="7">
        <v>45355</v>
      </c>
      <c r="B4166" t="s">
        <v>97</v>
      </c>
      <c r="C4166" t="s">
        <v>104</v>
      </c>
      <c r="D4166" s="8">
        <v>427.53</v>
      </c>
    </row>
    <row r="4167" spans="1:4" x14ac:dyDescent="0.45">
      <c r="A4167" s="7">
        <v>45822</v>
      </c>
      <c r="B4167" t="s">
        <v>97</v>
      </c>
      <c r="C4167" t="s">
        <v>104</v>
      </c>
      <c r="D4167" s="8">
        <v>386.03</v>
      </c>
    </row>
    <row r="4168" spans="1:4" x14ac:dyDescent="0.45">
      <c r="A4168" s="7">
        <v>45822</v>
      </c>
      <c r="B4168" t="s">
        <v>97</v>
      </c>
      <c r="C4168" t="s">
        <v>98</v>
      </c>
      <c r="D4168" s="8">
        <v>-57.31</v>
      </c>
    </row>
    <row r="4169" spans="1:4" x14ac:dyDescent="0.45">
      <c r="A4169" s="7">
        <v>45681</v>
      </c>
      <c r="B4169" t="s">
        <v>93</v>
      </c>
      <c r="C4169" t="s">
        <v>100</v>
      </c>
      <c r="D4169" s="8">
        <v>240.56</v>
      </c>
    </row>
    <row r="4170" spans="1:4" x14ac:dyDescent="0.45">
      <c r="A4170" s="7">
        <v>45668</v>
      </c>
      <c r="B4170" t="s">
        <v>97</v>
      </c>
      <c r="C4170" t="s">
        <v>101</v>
      </c>
      <c r="D4170" s="8">
        <v>454.87</v>
      </c>
    </row>
    <row r="4171" spans="1:4" x14ac:dyDescent="0.45">
      <c r="A4171" s="7">
        <v>45870</v>
      </c>
      <c r="B4171" t="s">
        <v>93</v>
      </c>
      <c r="C4171" t="s">
        <v>100</v>
      </c>
      <c r="D4171" s="8">
        <v>493.98</v>
      </c>
    </row>
    <row r="4172" spans="1:4" x14ac:dyDescent="0.45">
      <c r="A4172" s="7">
        <v>45472</v>
      </c>
      <c r="B4172" t="s">
        <v>93</v>
      </c>
      <c r="C4172" t="s">
        <v>100</v>
      </c>
      <c r="D4172" s="8">
        <v>475.17</v>
      </c>
    </row>
    <row r="4173" spans="1:4" x14ac:dyDescent="0.45">
      <c r="A4173" s="7">
        <v>45843</v>
      </c>
      <c r="B4173" t="s">
        <v>97</v>
      </c>
      <c r="C4173" t="s">
        <v>98</v>
      </c>
      <c r="D4173" s="8">
        <v>114.72</v>
      </c>
    </row>
    <row r="4174" spans="1:4" x14ac:dyDescent="0.45">
      <c r="A4174" s="7">
        <v>46133</v>
      </c>
      <c r="B4174" t="s">
        <v>97</v>
      </c>
      <c r="C4174" t="s">
        <v>104</v>
      </c>
      <c r="D4174" s="8">
        <v>125.35</v>
      </c>
    </row>
    <row r="4175" spans="1:4" x14ac:dyDescent="0.45">
      <c r="A4175" s="7">
        <v>45397</v>
      </c>
      <c r="B4175" t="s">
        <v>95</v>
      </c>
      <c r="C4175" t="s">
        <v>99</v>
      </c>
      <c r="D4175" s="8">
        <v>96.76</v>
      </c>
    </row>
    <row r="4176" spans="1:4" x14ac:dyDescent="0.45">
      <c r="A4176" s="7">
        <v>45675</v>
      </c>
      <c r="B4176" t="s">
        <v>93</v>
      </c>
      <c r="C4176" t="s">
        <v>103</v>
      </c>
      <c r="D4176" s="8">
        <v>-129.61000000000001</v>
      </c>
    </row>
    <row r="4177" spans="1:4" x14ac:dyDescent="0.45">
      <c r="A4177" s="7">
        <v>45533</v>
      </c>
      <c r="B4177" t="s">
        <v>97</v>
      </c>
      <c r="C4177" t="s">
        <v>101</v>
      </c>
      <c r="D4177" s="8">
        <v>424.05</v>
      </c>
    </row>
    <row r="4178" spans="1:4" x14ac:dyDescent="0.45">
      <c r="A4178" s="7">
        <v>45717</v>
      </c>
      <c r="B4178" t="s">
        <v>93</v>
      </c>
      <c r="C4178" t="s">
        <v>100</v>
      </c>
      <c r="D4178" s="8">
        <v>404.96</v>
      </c>
    </row>
    <row r="4179" spans="1:4" x14ac:dyDescent="0.45">
      <c r="A4179" s="7">
        <v>45774</v>
      </c>
      <c r="B4179" t="s">
        <v>95</v>
      </c>
      <c r="C4179" t="s">
        <v>105</v>
      </c>
      <c r="D4179" s="8">
        <v>390.27</v>
      </c>
    </row>
    <row r="4180" spans="1:4" x14ac:dyDescent="0.45">
      <c r="A4180" s="7">
        <v>45500</v>
      </c>
      <c r="B4180" t="s">
        <v>97</v>
      </c>
      <c r="C4180" t="s">
        <v>107</v>
      </c>
      <c r="D4180" s="8">
        <v>387.62</v>
      </c>
    </row>
    <row r="4181" spans="1:4" x14ac:dyDescent="0.45">
      <c r="A4181" s="7">
        <v>45968</v>
      </c>
      <c r="B4181" t="s">
        <v>93</v>
      </c>
      <c r="C4181" t="s">
        <v>106</v>
      </c>
      <c r="D4181" s="8">
        <v>276.79000000000002</v>
      </c>
    </row>
    <row r="4182" spans="1:4" x14ac:dyDescent="0.45">
      <c r="A4182" s="7">
        <v>45902</v>
      </c>
      <c r="B4182" t="s">
        <v>95</v>
      </c>
      <c r="C4182" t="s">
        <v>108</v>
      </c>
      <c r="D4182" s="8">
        <v>367.59</v>
      </c>
    </row>
    <row r="4183" spans="1:4" x14ac:dyDescent="0.45">
      <c r="A4183" s="7">
        <v>45812</v>
      </c>
      <c r="B4183" t="s">
        <v>97</v>
      </c>
      <c r="C4183" t="s">
        <v>104</v>
      </c>
      <c r="D4183" s="8">
        <v>207.13</v>
      </c>
    </row>
    <row r="4184" spans="1:4" x14ac:dyDescent="0.45">
      <c r="A4184" s="7">
        <v>45741</v>
      </c>
      <c r="B4184" t="s">
        <v>97</v>
      </c>
      <c r="C4184" t="s">
        <v>98</v>
      </c>
      <c r="D4184" s="8">
        <v>360.06</v>
      </c>
    </row>
    <row r="4185" spans="1:4" x14ac:dyDescent="0.45">
      <c r="A4185" s="7">
        <v>45375</v>
      </c>
      <c r="B4185" t="s">
        <v>95</v>
      </c>
      <c r="C4185" t="s">
        <v>109</v>
      </c>
      <c r="D4185" s="8">
        <v>449.58</v>
      </c>
    </row>
    <row r="4186" spans="1:4" x14ac:dyDescent="0.45">
      <c r="A4186" s="7">
        <v>46179</v>
      </c>
      <c r="B4186" t="s">
        <v>97</v>
      </c>
      <c r="C4186" t="s">
        <v>104</v>
      </c>
      <c r="D4186" s="8">
        <v>169.1</v>
      </c>
    </row>
    <row r="4187" spans="1:4" x14ac:dyDescent="0.45">
      <c r="A4187" s="7">
        <v>45580</v>
      </c>
      <c r="B4187" t="s">
        <v>97</v>
      </c>
      <c r="C4187" t="s">
        <v>104</v>
      </c>
      <c r="D4187" s="8">
        <v>434.6</v>
      </c>
    </row>
    <row r="4188" spans="1:4" x14ac:dyDescent="0.45">
      <c r="A4188" s="7">
        <v>46077</v>
      </c>
      <c r="B4188" t="s">
        <v>97</v>
      </c>
      <c r="C4188" t="s">
        <v>107</v>
      </c>
      <c r="D4188" s="8">
        <v>366.12</v>
      </c>
    </row>
    <row r="4189" spans="1:4" x14ac:dyDescent="0.45">
      <c r="A4189" s="7">
        <v>45561</v>
      </c>
      <c r="B4189" t="s">
        <v>97</v>
      </c>
      <c r="C4189" t="s">
        <v>101</v>
      </c>
      <c r="D4189" s="8">
        <v>359.02</v>
      </c>
    </row>
    <row r="4190" spans="1:4" x14ac:dyDescent="0.45">
      <c r="A4190" s="7">
        <v>45319</v>
      </c>
      <c r="B4190" t="s">
        <v>97</v>
      </c>
      <c r="C4190" t="s">
        <v>98</v>
      </c>
      <c r="D4190" s="8">
        <v>398.26</v>
      </c>
    </row>
    <row r="4191" spans="1:4" x14ac:dyDescent="0.45">
      <c r="A4191" s="7">
        <v>45481</v>
      </c>
      <c r="B4191" t="s">
        <v>97</v>
      </c>
      <c r="C4191" t="s">
        <v>101</v>
      </c>
      <c r="D4191" s="8">
        <v>179.06</v>
      </c>
    </row>
    <row r="4192" spans="1:4" x14ac:dyDescent="0.45">
      <c r="A4192" s="7">
        <v>45407</v>
      </c>
      <c r="B4192" t="s">
        <v>95</v>
      </c>
      <c r="C4192" t="s">
        <v>108</v>
      </c>
      <c r="D4192" s="8">
        <v>-86.22</v>
      </c>
    </row>
    <row r="4193" spans="1:4" x14ac:dyDescent="0.45">
      <c r="A4193" s="7">
        <v>45335</v>
      </c>
      <c r="B4193" t="s">
        <v>95</v>
      </c>
      <c r="C4193" t="s">
        <v>108</v>
      </c>
      <c r="D4193" s="8">
        <v>236.87</v>
      </c>
    </row>
    <row r="4194" spans="1:4" x14ac:dyDescent="0.45">
      <c r="A4194" s="7">
        <v>45967</v>
      </c>
      <c r="B4194" t="s">
        <v>95</v>
      </c>
      <c r="C4194" t="s">
        <v>109</v>
      </c>
      <c r="D4194" s="8">
        <v>472.8</v>
      </c>
    </row>
    <row r="4195" spans="1:4" x14ac:dyDescent="0.45">
      <c r="A4195" s="7">
        <v>45771</v>
      </c>
      <c r="B4195" t="s">
        <v>97</v>
      </c>
      <c r="C4195" t="s">
        <v>101</v>
      </c>
      <c r="D4195" s="8">
        <v>-87.98</v>
      </c>
    </row>
    <row r="4196" spans="1:4" x14ac:dyDescent="0.45">
      <c r="A4196" s="7">
        <v>45944</v>
      </c>
      <c r="B4196" t="s">
        <v>97</v>
      </c>
      <c r="C4196" t="s">
        <v>104</v>
      </c>
      <c r="D4196" s="8">
        <v>35.43</v>
      </c>
    </row>
    <row r="4197" spans="1:4" x14ac:dyDescent="0.45">
      <c r="A4197" s="7">
        <v>45633</v>
      </c>
      <c r="B4197" t="s">
        <v>95</v>
      </c>
      <c r="C4197" t="s">
        <v>109</v>
      </c>
      <c r="D4197" s="8">
        <v>-4.8</v>
      </c>
    </row>
    <row r="4198" spans="1:4" x14ac:dyDescent="0.45">
      <c r="A4198" s="7">
        <v>45525</v>
      </c>
      <c r="B4198" t="s">
        <v>97</v>
      </c>
      <c r="C4198" t="s">
        <v>104</v>
      </c>
      <c r="D4198" s="8">
        <v>64.819999999999993</v>
      </c>
    </row>
    <row r="4199" spans="1:4" x14ac:dyDescent="0.45">
      <c r="A4199" s="7">
        <v>45960</v>
      </c>
      <c r="B4199" t="s">
        <v>95</v>
      </c>
      <c r="C4199" t="s">
        <v>105</v>
      </c>
      <c r="D4199" s="8">
        <v>246.8</v>
      </c>
    </row>
    <row r="4200" spans="1:4" x14ac:dyDescent="0.45">
      <c r="A4200" s="7">
        <v>45765</v>
      </c>
      <c r="B4200" t="s">
        <v>97</v>
      </c>
      <c r="C4200" t="s">
        <v>98</v>
      </c>
      <c r="D4200" s="8">
        <v>222.29</v>
      </c>
    </row>
    <row r="4201" spans="1:4" x14ac:dyDescent="0.45">
      <c r="A4201" s="7">
        <v>45967</v>
      </c>
      <c r="B4201" t="s">
        <v>95</v>
      </c>
      <c r="C4201" t="s">
        <v>102</v>
      </c>
      <c r="D4201" s="8">
        <v>-53.35</v>
      </c>
    </row>
    <row r="4202" spans="1:4" x14ac:dyDescent="0.45">
      <c r="A4202" s="7">
        <v>45518</v>
      </c>
      <c r="B4202" t="s">
        <v>93</v>
      </c>
      <c r="C4202" t="s">
        <v>94</v>
      </c>
      <c r="D4202" s="8">
        <v>-130.47</v>
      </c>
    </row>
    <row r="4203" spans="1:4" x14ac:dyDescent="0.45">
      <c r="A4203" s="7">
        <v>45670</v>
      </c>
      <c r="B4203" t="s">
        <v>93</v>
      </c>
      <c r="C4203" t="s">
        <v>106</v>
      </c>
      <c r="D4203" s="8">
        <v>331.2</v>
      </c>
    </row>
    <row r="4204" spans="1:4" x14ac:dyDescent="0.45">
      <c r="A4204" s="7">
        <v>45984</v>
      </c>
      <c r="B4204" t="s">
        <v>93</v>
      </c>
      <c r="C4204" t="s">
        <v>100</v>
      </c>
      <c r="D4204" s="8">
        <v>187.32</v>
      </c>
    </row>
    <row r="4205" spans="1:4" x14ac:dyDescent="0.45">
      <c r="A4205" s="7">
        <v>45380</v>
      </c>
      <c r="B4205" t="s">
        <v>97</v>
      </c>
      <c r="C4205" t="s">
        <v>107</v>
      </c>
      <c r="D4205" s="8">
        <v>143.18</v>
      </c>
    </row>
    <row r="4206" spans="1:4" x14ac:dyDescent="0.45">
      <c r="A4206" s="7">
        <v>45916</v>
      </c>
      <c r="B4206" t="s">
        <v>97</v>
      </c>
      <c r="C4206" t="s">
        <v>107</v>
      </c>
      <c r="D4206" s="8">
        <v>-21.1</v>
      </c>
    </row>
    <row r="4207" spans="1:4" x14ac:dyDescent="0.45">
      <c r="A4207" s="7">
        <v>45911</v>
      </c>
      <c r="B4207" t="s">
        <v>97</v>
      </c>
      <c r="C4207" t="s">
        <v>107</v>
      </c>
      <c r="D4207" s="8">
        <v>368.05</v>
      </c>
    </row>
    <row r="4208" spans="1:4" x14ac:dyDescent="0.45">
      <c r="A4208" s="7">
        <v>45865</v>
      </c>
      <c r="B4208" t="s">
        <v>95</v>
      </c>
      <c r="C4208" t="s">
        <v>108</v>
      </c>
      <c r="D4208" s="8">
        <v>129.69</v>
      </c>
    </row>
    <row r="4209" spans="1:4" x14ac:dyDescent="0.45">
      <c r="A4209" s="7">
        <v>45951</v>
      </c>
      <c r="B4209" t="s">
        <v>95</v>
      </c>
      <c r="C4209" t="s">
        <v>102</v>
      </c>
      <c r="D4209" s="8">
        <v>487.16</v>
      </c>
    </row>
    <row r="4210" spans="1:4" x14ac:dyDescent="0.45">
      <c r="A4210" s="7">
        <v>45690</v>
      </c>
      <c r="B4210" t="s">
        <v>95</v>
      </c>
      <c r="C4210" t="s">
        <v>99</v>
      </c>
      <c r="D4210" s="8">
        <v>363.3</v>
      </c>
    </row>
    <row r="4211" spans="1:4" x14ac:dyDescent="0.45">
      <c r="A4211" s="7">
        <v>45881</v>
      </c>
      <c r="B4211" t="s">
        <v>95</v>
      </c>
      <c r="C4211" t="s">
        <v>105</v>
      </c>
      <c r="D4211" s="8">
        <v>127.36</v>
      </c>
    </row>
    <row r="4212" spans="1:4" x14ac:dyDescent="0.45">
      <c r="A4212" s="7">
        <v>46184</v>
      </c>
      <c r="B4212" t="s">
        <v>95</v>
      </c>
      <c r="C4212" t="s">
        <v>99</v>
      </c>
      <c r="D4212" s="8">
        <v>347.65</v>
      </c>
    </row>
    <row r="4213" spans="1:4" x14ac:dyDescent="0.45">
      <c r="A4213" s="7">
        <v>45394</v>
      </c>
      <c r="B4213" t="s">
        <v>95</v>
      </c>
      <c r="C4213" t="s">
        <v>99</v>
      </c>
      <c r="D4213" s="8">
        <v>368.23</v>
      </c>
    </row>
    <row r="4214" spans="1:4" x14ac:dyDescent="0.45">
      <c r="A4214" s="7">
        <v>45708</v>
      </c>
      <c r="B4214" t="s">
        <v>93</v>
      </c>
      <c r="C4214" t="s">
        <v>94</v>
      </c>
      <c r="D4214" s="8">
        <v>137.91</v>
      </c>
    </row>
    <row r="4215" spans="1:4" x14ac:dyDescent="0.45">
      <c r="A4215" s="7">
        <v>45636</v>
      </c>
      <c r="B4215" t="s">
        <v>93</v>
      </c>
      <c r="C4215" t="s">
        <v>94</v>
      </c>
      <c r="D4215" s="8">
        <v>151.26</v>
      </c>
    </row>
    <row r="4216" spans="1:4" x14ac:dyDescent="0.45">
      <c r="A4216" s="7">
        <v>45426</v>
      </c>
      <c r="B4216" t="s">
        <v>95</v>
      </c>
      <c r="C4216" t="s">
        <v>108</v>
      </c>
      <c r="D4216" s="8">
        <v>-49.9</v>
      </c>
    </row>
    <row r="4217" spans="1:4" x14ac:dyDescent="0.45">
      <c r="A4217" s="7">
        <v>45766</v>
      </c>
      <c r="B4217" t="s">
        <v>97</v>
      </c>
      <c r="C4217" t="s">
        <v>98</v>
      </c>
      <c r="D4217" s="8">
        <v>-32.64</v>
      </c>
    </row>
    <row r="4218" spans="1:4" x14ac:dyDescent="0.45">
      <c r="A4218" s="7">
        <v>45730</v>
      </c>
      <c r="B4218" t="s">
        <v>95</v>
      </c>
      <c r="C4218" t="s">
        <v>99</v>
      </c>
      <c r="D4218" s="8">
        <v>475.49</v>
      </c>
    </row>
    <row r="4219" spans="1:4" x14ac:dyDescent="0.45">
      <c r="A4219" s="7">
        <v>45712</v>
      </c>
      <c r="B4219" t="s">
        <v>95</v>
      </c>
      <c r="C4219" t="s">
        <v>108</v>
      </c>
      <c r="D4219" s="8">
        <v>339.02</v>
      </c>
    </row>
    <row r="4220" spans="1:4" x14ac:dyDescent="0.45">
      <c r="A4220" s="7">
        <v>45305</v>
      </c>
      <c r="B4220" t="s">
        <v>93</v>
      </c>
      <c r="C4220" t="s">
        <v>103</v>
      </c>
      <c r="D4220" s="8">
        <v>45.19</v>
      </c>
    </row>
    <row r="4221" spans="1:4" x14ac:dyDescent="0.45">
      <c r="A4221" s="7">
        <v>46132</v>
      </c>
      <c r="B4221" t="s">
        <v>95</v>
      </c>
      <c r="C4221" t="s">
        <v>108</v>
      </c>
      <c r="D4221" s="8">
        <v>196.86</v>
      </c>
    </row>
    <row r="4222" spans="1:4" x14ac:dyDescent="0.45">
      <c r="A4222" s="7">
        <v>46098</v>
      </c>
      <c r="B4222" t="s">
        <v>95</v>
      </c>
      <c r="C4222" t="s">
        <v>108</v>
      </c>
      <c r="D4222" s="8">
        <v>129.96</v>
      </c>
    </row>
    <row r="4223" spans="1:4" x14ac:dyDescent="0.45">
      <c r="A4223" s="7">
        <v>46161</v>
      </c>
      <c r="B4223" t="s">
        <v>95</v>
      </c>
      <c r="C4223" t="s">
        <v>109</v>
      </c>
      <c r="D4223" s="8">
        <v>57.65</v>
      </c>
    </row>
    <row r="4224" spans="1:4" x14ac:dyDescent="0.45">
      <c r="A4224" s="7">
        <v>45296</v>
      </c>
      <c r="B4224" t="s">
        <v>97</v>
      </c>
      <c r="C4224" t="s">
        <v>101</v>
      </c>
      <c r="D4224" s="8">
        <v>125.23</v>
      </c>
    </row>
    <row r="4225" spans="1:4" x14ac:dyDescent="0.45">
      <c r="A4225" s="7">
        <v>45868</v>
      </c>
      <c r="B4225" t="s">
        <v>97</v>
      </c>
      <c r="C4225" t="s">
        <v>101</v>
      </c>
      <c r="D4225" s="8">
        <v>97.41</v>
      </c>
    </row>
    <row r="4226" spans="1:4" x14ac:dyDescent="0.45">
      <c r="A4226" s="7">
        <v>45351</v>
      </c>
      <c r="B4226" t="s">
        <v>95</v>
      </c>
      <c r="C4226" t="s">
        <v>109</v>
      </c>
      <c r="D4226" s="8">
        <v>175.3</v>
      </c>
    </row>
    <row r="4227" spans="1:4" x14ac:dyDescent="0.45">
      <c r="A4227" s="7">
        <v>45667</v>
      </c>
      <c r="B4227" t="s">
        <v>95</v>
      </c>
      <c r="C4227" t="s">
        <v>99</v>
      </c>
      <c r="D4227" s="8">
        <v>498.51</v>
      </c>
    </row>
    <row r="4228" spans="1:4" x14ac:dyDescent="0.45">
      <c r="A4228" s="7">
        <v>45396</v>
      </c>
      <c r="B4228" t="s">
        <v>97</v>
      </c>
      <c r="C4228" t="s">
        <v>104</v>
      </c>
      <c r="D4228" s="8">
        <v>96.69</v>
      </c>
    </row>
    <row r="4229" spans="1:4" x14ac:dyDescent="0.45">
      <c r="A4229" s="7">
        <v>45760</v>
      </c>
      <c r="B4229" t="s">
        <v>97</v>
      </c>
      <c r="C4229" t="s">
        <v>107</v>
      </c>
      <c r="D4229" s="8">
        <v>235.24</v>
      </c>
    </row>
    <row r="4230" spans="1:4" x14ac:dyDescent="0.45">
      <c r="A4230" s="7">
        <v>46126</v>
      </c>
      <c r="B4230" t="s">
        <v>97</v>
      </c>
      <c r="C4230" t="s">
        <v>107</v>
      </c>
      <c r="D4230" s="8">
        <v>370.04</v>
      </c>
    </row>
    <row r="4231" spans="1:4" x14ac:dyDescent="0.45">
      <c r="A4231" s="7">
        <v>46121</v>
      </c>
      <c r="B4231" t="s">
        <v>93</v>
      </c>
      <c r="C4231" t="s">
        <v>103</v>
      </c>
      <c r="D4231" s="8">
        <v>-35.770000000000003</v>
      </c>
    </row>
    <row r="4232" spans="1:4" x14ac:dyDescent="0.45">
      <c r="A4232" s="7">
        <v>45714</v>
      </c>
      <c r="B4232" t="s">
        <v>97</v>
      </c>
      <c r="C4232" t="s">
        <v>101</v>
      </c>
      <c r="D4232" s="8">
        <v>36.880000000000003</v>
      </c>
    </row>
    <row r="4233" spans="1:4" x14ac:dyDescent="0.45">
      <c r="A4233" s="7">
        <v>45795</v>
      </c>
      <c r="B4233" t="s">
        <v>93</v>
      </c>
      <c r="C4233" t="s">
        <v>100</v>
      </c>
      <c r="D4233" s="8">
        <v>-130.53</v>
      </c>
    </row>
    <row r="4234" spans="1:4" x14ac:dyDescent="0.45">
      <c r="A4234" s="7">
        <v>45530</v>
      </c>
      <c r="B4234" t="s">
        <v>97</v>
      </c>
      <c r="C4234" t="s">
        <v>107</v>
      </c>
      <c r="D4234" s="8">
        <v>25.08</v>
      </c>
    </row>
    <row r="4235" spans="1:4" x14ac:dyDescent="0.45">
      <c r="A4235" s="7">
        <v>45884</v>
      </c>
      <c r="B4235" t="s">
        <v>95</v>
      </c>
      <c r="C4235" t="s">
        <v>99</v>
      </c>
      <c r="D4235" s="8">
        <v>-145.74</v>
      </c>
    </row>
    <row r="4236" spans="1:4" x14ac:dyDescent="0.45">
      <c r="A4236" s="7">
        <v>45468</v>
      </c>
      <c r="B4236" t="s">
        <v>95</v>
      </c>
      <c r="C4236" t="s">
        <v>109</v>
      </c>
      <c r="D4236" s="8">
        <v>48.97</v>
      </c>
    </row>
    <row r="4237" spans="1:4" x14ac:dyDescent="0.45">
      <c r="A4237" s="7">
        <v>45372</v>
      </c>
      <c r="B4237" t="s">
        <v>93</v>
      </c>
      <c r="C4237" t="s">
        <v>100</v>
      </c>
      <c r="D4237" s="8">
        <v>-91.36</v>
      </c>
    </row>
    <row r="4238" spans="1:4" x14ac:dyDescent="0.45">
      <c r="A4238" s="7">
        <v>46036</v>
      </c>
      <c r="B4238" t="s">
        <v>97</v>
      </c>
      <c r="C4238" t="s">
        <v>107</v>
      </c>
      <c r="D4238" s="8">
        <v>-51.75</v>
      </c>
    </row>
    <row r="4239" spans="1:4" x14ac:dyDescent="0.45">
      <c r="A4239" s="7">
        <v>46167</v>
      </c>
      <c r="B4239" t="s">
        <v>95</v>
      </c>
      <c r="C4239" t="s">
        <v>102</v>
      </c>
      <c r="D4239" s="8">
        <v>296.95</v>
      </c>
    </row>
    <row r="4240" spans="1:4" x14ac:dyDescent="0.45">
      <c r="A4240" s="7">
        <v>45857</v>
      </c>
      <c r="B4240" t="s">
        <v>97</v>
      </c>
      <c r="C4240" t="s">
        <v>98</v>
      </c>
      <c r="D4240" s="8">
        <v>497.97</v>
      </c>
    </row>
    <row r="4241" spans="1:4" x14ac:dyDescent="0.45">
      <c r="A4241" s="7">
        <v>46111</v>
      </c>
      <c r="B4241" t="s">
        <v>93</v>
      </c>
      <c r="C4241" t="s">
        <v>94</v>
      </c>
      <c r="D4241" s="8">
        <v>8.64</v>
      </c>
    </row>
    <row r="4242" spans="1:4" x14ac:dyDescent="0.45">
      <c r="A4242" s="7">
        <v>45757</v>
      </c>
      <c r="B4242" t="s">
        <v>95</v>
      </c>
      <c r="C4242" t="s">
        <v>96</v>
      </c>
      <c r="D4242" s="8">
        <v>-43.61</v>
      </c>
    </row>
    <row r="4243" spans="1:4" x14ac:dyDescent="0.45">
      <c r="A4243" s="7">
        <v>45822</v>
      </c>
      <c r="B4243" t="s">
        <v>95</v>
      </c>
      <c r="C4243" t="s">
        <v>109</v>
      </c>
      <c r="D4243" s="8">
        <v>191.42</v>
      </c>
    </row>
    <row r="4244" spans="1:4" x14ac:dyDescent="0.45">
      <c r="A4244" s="7">
        <v>45682</v>
      </c>
      <c r="B4244" t="s">
        <v>97</v>
      </c>
      <c r="C4244" t="s">
        <v>104</v>
      </c>
      <c r="D4244" s="8">
        <v>219.97</v>
      </c>
    </row>
    <row r="4245" spans="1:4" x14ac:dyDescent="0.45">
      <c r="A4245" s="7">
        <v>46120</v>
      </c>
      <c r="B4245" t="s">
        <v>93</v>
      </c>
      <c r="C4245" t="s">
        <v>106</v>
      </c>
      <c r="D4245" s="8">
        <v>437.63</v>
      </c>
    </row>
    <row r="4246" spans="1:4" x14ac:dyDescent="0.45">
      <c r="A4246" s="7">
        <v>45401</v>
      </c>
      <c r="B4246" t="s">
        <v>95</v>
      </c>
      <c r="C4246" t="s">
        <v>108</v>
      </c>
      <c r="D4246" s="8">
        <v>-148.05000000000001</v>
      </c>
    </row>
    <row r="4247" spans="1:4" x14ac:dyDescent="0.45">
      <c r="A4247" s="7">
        <v>45396</v>
      </c>
      <c r="B4247" t="s">
        <v>95</v>
      </c>
      <c r="C4247" t="s">
        <v>109</v>
      </c>
      <c r="D4247" s="8">
        <v>166.29</v>
      </c>
    </row>
    <row r="4248" spans="1:4" x14ac:dyDescent="0.45">
      <c r="A4248" s="7">
        <v>45871</v>
      </c>
      <c r="B4248" t="s">
        <v>93</v>
      </c>
      <c r="C4248" t="s">
        <v>100</v>
      </c>
      <c r="D4248" s="8">
        <v>-22.79</v>
      </c>
    </row>
    <row r="4249" spans="1:4" x14ac:dyDescent="0.45">
      <c r="A4249" s="7">
        <v>46157</v>
      </c>
      <c r="B4249" t="s">
        <v>95</v>
      </c>
      <c r="C4249" t="s">
        <v>108</v>
      </c>
      <c r="D4249" s="8">
        <v>284.77</v>
      </c>
    </row>
    <row r="4250" spans="1:4" x14ac:dyDescent="0.45">
      <c r="A4250" s="7">
        <v>45698</v>
      </c>
      <c r="B4250" t="s">
        <v>95</v>
      </c>
      <c r="C4250" t="s">
        <v>102</v>
      </c>
      <c r="D4250" s="8">
        <v>53.91</v>
      </c>
    </row>
    <row r="4251" spans="1:4" x14ac:dyDescent="0.45">
      <c r="A4251" s="7">
        <v>45388</v>
      </c>
      <c r="B4251" t="s">
        <v>93</v>
      </c>
      <c r="C4251" t="s">
        <v>103</v>
      </c>
      <c r="D4251" s="8">
        <v>234.8</v>
      </c>
    </row>
    <row r="4252" spans="1:4" x14ac:dyDescent="0.45">
      <c r="A4252" s="7">
        <v>46182</v>
      </c>
      <c r="B4252" t="s">
        <v>95</v>
      </c>
      <c r="C4252" t="s">
        <v>96</v>
      </c>
      <c r="D4252" s="8">
        <v>481.33</v>
      </c>
    </row>
    <row r="4253" spans="1:4" x14ac:dyDescent="0.45">
      <c r="A4253" s="7">
        <v>45309</v>
      </c>
      <c r="B4253" t="s">
        <v>95</v>
      </c>
      <c r="C4253" t="s">
        <v>102</v>
      </c>
      <c r="D4253" s="8">
        <v>25.73</v>
      </c>
    </row>
    <row r="4254" spans="1:4" x14ac:dyDescent="0.45">
      <c r="A4254" s="7">
        <v>46022</v>
      </c>
      <c r="B4254" t="s">
        <v>93</v>
      </c>
      <c r="C4254" t="s">
        <v>103</v>
      </c>
      <c r="D4254" s="8">
        <v>462.51</v>
      </c>
    </row>
    <row r="4255" spans="1:4" x14ac:dyDescent="0.45">
      <c r="A4255" s="7">
        <v>45492</v>
      </c>
      <c r="B4255" t="s">
        <v>93</v>
      </c>
      <c r="C4255" t="s">
        <v>103</v>
      </c>
      <c r="D4255" s="8">
        <v>-125.02</v>
      </c>
    </row>
    <row r="4256" spans="1:4" x14ac:dyDescent="0.45">
      <c r="A4256" s="7">
        <v>45628</v>
      </c>
      <c r="B4256" t="s">
        <v>97</v>
      </c>
      <c r="C4256" t="s">
        <v>101</v>
      </c>
      <c r="D4256" s="8">
        <v>421.98</v>
      </c>
    </row>
    <row r="4257" spans="1:4" x14ac:dyDescent="0.45">
      <c r="A4257" s="7">
        <v>45736</v>
      </c>
      <c r="B4257" t="s">
        <v>93</v>
      </c>
      <c r="C4257" t="s">
        <v>94</v>
      </c>
      <c r="D4257" s="8">
        <v>-100.38</v>
      </c>
    </row>
    <row r="4258" spans="1:4" x14ac:dyDescent="0.45">
      <c r="A4258" s="7">
        <v>45405</v>
      </c>
      <c r="B4258" t="s">
        <v>95</v>
      </c>
      <c r="C4258" t="s">
        <v>108</v>
      </c>
      <c r="D4258" s="8">
        <v>-64.48</v>
      </c>
    </row>
    <row r="4259" spans="1:4" x14ac:dyDescent="0.45">
      <c r="A4259" s="7">
        <v>45565</v>
      </c>
      <c r="B4259" t="s">
        <v>95</v>
      </c>
      <c r="C4259" t="s">
        <v>99</v>
      </c>
      <c r="D4259" s="8">
        <v>193.32</v>
      </c>
    </row>
    <row r="4260" spans="1:4" x14ac:dyDescent="0.45">
      <c r="A4260" s="7">
        <v>45651</v>
      </c>
      <c r="B4260" t="s">
        <v>95</v>
      </c>
      <c r="C4260" t="s">
        <v>108</v>
      </c>
      <c r="D4260" s="8">
        <v>466.99</v>
      </c>
    </row>
    <row r="4261" spans="1:4" x14ac:dyDescent="0.45">
      <c r="A4261" s="7">
        <v>46069</v>
      </c>
      <c r="B4261" t="s">
        <v>97</v>
      </c>
      <c r="C4261" t="s">
        <v>107</v>
      </c>
      <c r="D4261" s="8">
        <v>268.02999999999997</v>
      </c>
    </row>
    <row r="4262" spans="1:4" x14ac:dyDescent="0.45">
      <c r="A4262" s="7">
        <v>45652</v>
      </c>
      <c r="B4262" t="s">
        <v>93</v>
      </c>
      <c r="C4262" t="s">
        <v>106</v>
      </c>
      <c r="D4262" s="8">
        <v>335.1</v>
      </c>
    </row>
    <row r="4263" spans="1:4" x14ac:dyDescent="0.45">
      <c r="A4263" s="7">
        <v>45317</v>
      </c>
      <c r="B4263" t="s">
        <v>93</v>
      </c>
      <c r="C4263" t="s">
        <v>106</v>
      </c>
      <c r="D4263" s="8">
        <v>250.46</v>
      </c>
    </row>
    <row r="4264" spans="1:4" x14ac:dyDescent="0.45">
      <c r="A4264" s="7">
        <v>45779</v>
      </c>
      <c r="B4264" t="s">
        <v>97</v>
      </c>
      <c r="C4264" t="s">
        <v>104</v>
      </c>
      <c r="D4264" s="8">
        <v>25.59</v>
      </c>
    </row>
    <row r="4265" spans="1:4" x14ac:dyDescent="0.45">
      <c r="A4265" s="7">
        <v>45935</v>
      </c>
      <c r="B4265" t="s">
        <v>97</v>
      </c>
      <c r="C4265" t="s">
        <v>104</v>
      </c>
      <c r="D4265" s="8">
        <v>-64.53</v>
      </c>
    </row>
    <row r="4266" spans="1:4" x14ac:dyDescent="0.45">
      <c r="A4266" s="7">
        <v>45515</v>
      </c>
      <c r="B4266" t="s">
        <v>97</v>
      </c>
      <c r="C4266" t="s">
        <v>101</v>
      </c>
      <c r="D4266" s="8">
        <v>-80.94</v>
      </c>
    </row>
    <row r="4267" spans="1:4" x14ac:dyDescent="0.45">
      <c r="A4267" s="7">
        <v>45375</v>
      </c>
      <c r="B4267" t="s">
        <v>95</v>
      </c>
      <c r="C4267" t="s">
        <v>108</v>
      </c>
      <c r="D4267" s="8">
        <v>56.81</v>
      </c>
    </row>
    <row r="4268" spans="1:4" x14ac:dyDescent="0.45">
      <c r="A4268" s="7">
        <v>45790</v>
      </c>
      <c r="B4268" t="s">
        <v>95</v>
      </c>
      <c r="C4268" t="s">
        <v>102</v>
      </c>
      <c r="D4268" s="8">
        <v>-58.62</v>
      </c>
    </row>
    <row r="4269" spans="1:4" x14ac:dyDescent="0.45">
      <c r="A4269" s="7">
        <v>45805</v>
      </c>
      <c r="B4269" t="s">
        <v>95</v>
      </c>
      <c r="C4269" t="s">
        <v>105</v>
      </c>
      <c r="D4269" s="8">
        <v>-130.44</v>
      </c>
    </row>
    <row r="4270" spans="1:4" x14ac:dyDescent="0.45">
      <c r="A4270" s="7">
        <v>45768</v>
      </c>
      <c r="B4270" t="s">
        <v>97</v>
      </c>
      <c r="C4270" t="s">
        <v>107</v>
      </c>
      <c r="D4270" s="8">
        <v>417.47</v>
      </c>
    </row>
    <row r="4271" spans="1:4" x14ac:dyDescent="0.45">
      <c r="A4271" s="7">
        <v>45909</v>
      </c>
      <c r="B4271" t="s">
        <v>95</v>
      </c>
      <c r="C4271" t="s">
        <v>96</v>
      </c>
      <c r="D4271" s="8">
        <v>129.06</v>
      </c>
    </row>
    <row r="4272" spans="1:4" x14ac:dyDescent="0.45">
      <c r="A4272" s="7">
        <v>46000</v>
      </c>
      <c r="B4272" t="s">
        <v>95</v>
      </c>
      <c r="C4272" t="s">
        <v>105</v>
      </c>
      <c r="D4272" s="8">
        <v>167.6</v>
      </c>
    </row>
    <row r="4273" spans="1:4" x14ac:dyDescent="0.45">
      <c r="A4273" s="7">
        <v>45472</v>
      </c>
      <c r="B4273" t="s">
        <v>95</v>
      </c>
      <c r="C4273" t="s">
        <v>108</v>
      </c>
      <c r="D4273" s="8">
        <v>424.61</v>
      </c>
    </row>
    <row r="4274" spans="1:4" x14ac:dyDescent="0.45">
      <c r="A4274" s="7">
        <v>45740</v>
      </c>
      <c r="B4274" t="s">
        <v>97</v>
      </c>
      <c r="C4274" t="s">
        <v>107</v>
      </c>
      <c r="D4274" s="8">
        <v>352.35</v>
      </c>
    </row>
    <row r="4275" spans="1:4" x14ac:dyDescent="0.45">
      <c r="A4275" s="7">
        <v>45295</v>
      </c>
      <c r="B4275" t="s">
        <v>97</v>
      </c>
      <c r="C4275" t="s">
        <v>107</v>
      </c>
      <c r="D4275" s="8">
        <v>118.79</v>
      </c>
    </row>
    <row r="4276" spans="1:4" x14ac:dyDescent="0.45">
      <c r="A4276" s="7">
        <v>45702</v>
      </c>
      <c r="B4276" t="s">
        <v>97</v>
      </c>
      <c r="C4276" t="s">
        <v>107</v>
      </c>
      <c r="D4276" s="8">
        <v>178.07</v>
      </c>
    </row>
    <row r="4277" spans="1:4" x14ac:dyDescent="0.45">
      <c r="A4277" s="7">
        <v>45716</v>
      </c>
      <c r="B4277" t="s">
        <v>95</v>
      </c>
      <c r="C4277" t="s">
        <v>109</v>
      </c>
      <c r="D4277" s="8">
        <v>157.54</v>
      </c>
    </row>
    <row r="4278" spans="1:4" x14ac:dyDescent="0.45">
      <c r="A4278" s="7">
        <v>45673</v>
      </c>
      <c r="B4278" t="s">
        <v>97</v>
      </c>
      <c r="C4278" t="s">
        <v>98</v>
      </c>
      <c r="D4278" s="8">
        <v>294.89</v>
      </c>
    </row>
    <row r="4279" spans="1:4" x14ac:dyDescent="0.45">
      <c r="A4279" s="7">
        <v>45876</v>
      </c>
      <c r="B4279" t="s">
        <v>93</v>
      </c>
      <c r="C4279" t="s">
        <v>103</v>
      </c>
      <c r="D4279" s="8">
        <v>131.13</v>
      </c>
    </row>
    <row r="4280" spans="1:4" x14ac:dyDescent="0.45">
      <c r="A4280" s="7">
        <v>45912</v>
      </c>
      <c r="B4280" t="s">
        <v>93</v>
      </c>
      <c r="C4280" t="s">
        <v>106</v>
      </c>
      <c r="D4280" s="8">
        <v>95.44</v>
      </c>
    </row>
    <row r="4281" spans="1:4" x14ac:dyDescent="0.45">
      <c r="A4281" s="7">
        <v>45587</v>
      </c>
      <c r="B4281" t="s">
        <v>95</v>
      </c>
      <c r="C4281" t="s">
        <v>108</v>
      </c>
      <c r="D4281" s="8">
        <v>2.75</v>
      </c>
    </row>
    <row r="4282" spans="1:4" x14ac:dyDescent="0.45">
      <c r="A4282" s="7">
        <v>46042</v>
      </c>
      <c r="B4282" t="s">
        <v>95</v>
      </c>
      <c r="C4282" t="s">
        <v>102</v>
      </c>
      <c r="D4282" s="8">
        <v>294.08</v>
      </c>
    </row>
    <row r="4283" spans="1:4" x14ac:dyDescent="0.45">
      <c r="A4283" s="7">
        <v>45856</v>
      </c>
      <c r="B4283" t="s">
        <v>93</v>
      </c>
      <c r="C4283" t="s">
        <v>94</v>
      </c>
      <c r="D4283" s="8">
        <v>122.66</v>
      </c>
    </row>
    <row r="4284" spans="1:4" x14ac:dyDescent="0.45">
      <c r="A4284" s="7">
        <v>46031</v>
      </c>
      <c r="B4284" t="s">
        <v>93</v>
      </c>
      <c r="C4284" t="s">
        <v>106</v>
      </c>
      <c r="D4284" s="8">
        <v>340.12</v>
      </c>
    </row>
    <row r="4285" spans="1:4" x14ac:dyDescent="0.45">
      <c r="A4285" s="7">
        <v>45515</v>
      </c>
      <c r="B4285" t="s">
        <v>93</v>
      </c>
      <c r="C4285" t="s">
        <v>103</v>
      </c>
      <c r="D4285" s="8">
        <v>84.92</v>
      </c>
    </row>
    <row r="4286" spans="1:4" x14ac:dyDescent="0.45">
      <c r="A4286" s="7">
        <v>45456</v>
      </c>
      <c r="B4286" t="s">
        <v>97</v>
      </c>
      <c r="C4286" t="s">
        <v>107</v>
      </c>
      <c r="D4286" s="8">
        <v>-126.92</v>
      </c>
    </row>
    <row r="4287" spans="1:4" x14ac:dyDescent="0.45">
      <c r="A4287" s="7">
        <v>45612</v>
      </c>
      <c r="B4287" t="s">
        <v>95</v>
      </c>
      <c r="C4287" t="s">
        <v>109</v>
      </c>
      <c r="D4287" s="8">
        <v>159.33000000000001</v>
      </c>
    </row>
    <row r="4288" spans="1:4" x14ac:dyDescent="0.45">
      <c r="A4288" s="7">
        <v>45835</v>
      </c>
      <c r="B4288" t="s">
        <v>93</v>
      </c>
      <c r="C4288" t="s">
        <v>103</v>
      </c>
      <c r="D4288" s="8">
        <v>434.88</v>
      </c>
    </row>
    <row r="4289" spans="1:4" x14ac:dyDescent="0.45">
      <c r="A4289" s="7">
        <v>45442</v>
      </c>
      <c r="B4289" t="s">
        <v>93</v>
      </c>
      <c r="C4289" t="s">
        <v>103</v>
      </c>
      <c r="D4289" s="8">
        <v>208.52</v>
      </c>
    </row>
    <row r="4290" spans="1:4" x14ac:dyDescent="0.45">
      <c r="A4290" s="7">
        <v>45772</v>
      </c>
      <c r="B4290" t="s">
        <v>97</v>
      </c>
      <c r="C4290" t="s">
        <v>104</v>
      </c>
      <c r="D4290" s="8">
        <v>-44.13</v>
      </c>
    </row>
    <row r="4291" spans="1:4" x14ac:dyDescent="0.45">
      <c r="A4291" s="7">
        <v>45727</v>
      </c>
      <c r="B4291" t="s">
        <v>95</v>
      </c>
      <c r="C4291" t="s">
        <v>105</v>
      </c>
      <c r="D4291" s="8">
        <v>-82.14</v>
      </c>
    </row>
    <row r="4292" spans="1:4" x14ac:dyDescent="0.45">
      <c r="A4292" s="7">
        <v>45443</v>
      </c>
      <c r="B4292" t="s">
        <v>95</v>
      </c>
      <c r="C4292" t="s">
        <v>102</v>
      </c>
      <c r="D4292" s="8">
        <v>159.47999999999999</v>
      </c>
    </row>
    <row r="4293" spans="1:4" x14ac:dyDescent="0.45">
      <c r="A4293" s="7">
        <v>45936</v>
      </c>
      <c r="B4293" t="s">
        <v>95</v>
      </c>
      <c r="C4293" t="s">
        <v>99</v>
      </c>
      <c r="D4293" s="8">
        <v>-54.27</v>
      </c>
    </row>
    <row r="4294" spans="1:4" x14ac:dyDescent="0.45">
      <c r="A4294" s="7">
        <v>45596</v>
      </c>
      <c r="B4294" t="s">
        <v>95</v>
      </c>
      <c r="C4294" t="s">
        <v>96</v>
      </c>
      <c r="D4294" s="8">
        <v>86.26</v>
      </c>
    </row>
    <row r="4295" spans="1:4" x14ac:dyDescent="0.45">
      <c r="A4295" s="7">
        <v>45736</v>
      </c>
      <c r="B4295" t="s">
        <v>93</v>
      </c>
      <c r="C4295" t="s">
        <v>100</v>
      </c>
      <c r="D4295" s="8">
        <v>207.15</v>
      </c>
    </row>
    <row r="4296" spans="1:4" x14ac:dyDescent="0.45">
      <c r="A4296" s="7">
        <v>45333</v>
      </c>
      <c r="B4296" t="s">
        <v>97</v>
      </c>
      <c r="C4296" t="s">
        <v>101</v>
      </c>
      <c r="D4296" s="8">
        <v>172.51</v>
      </c>
    </row>
    <row r="4297" spans="1:4" x14ac:dyDescent="0.45">
      <c r="A4297" s="7">
        <v>45301</v>
      </c>
      <c r="B4297" t="s">
        <v>93</v>
      </c>
      <c r="C4297" t="s">
        <v>94</v>
      </c>
      <c r="D4297" s="8">
        <v>496.23</v>
      </c>
    </row>
    <row r="4298" spans="1:4" x14ac:dyDescent="0.45">
      <c r="A4298" s="7">
        <v>45459</v>
      </c>
      <c r="B4298" t="s">
        <v>95</v>
      </c>
      <c r="C4298" t="s">
        <v>109</v>
      </c>
      <c r="D4298" s="8">
        <v>318.33</v>
      </c>
    </row>
    <row r="4299" spans="1:4" x14ac:dyDescent="0.45">
      <c r="A4299" s="7">
        <v>45526</v>
      </c>
      <c r="B4299" t="s">
        <v>93</v>
      </c>
      <c r="C4299" t="s">
        <v>103</v>
      </c>
      <c r="D4299" s="8">
        <v>208.8</v>
      </c>
    </row>
    <row r="4300" spans="1:4" x14ac:dyDescent="0.45">
      <c r="A4300" s="7">
        <v>45963</v>
      </c>
      <c r="B4300" t="s">
        <v>93</v>
      </c>
      <c r="C4300" t="s">
        <v>94</v>
      </c>
      <c r="D4300" s="8">
        <v>429.25</v>
      </c>
    </row>
    <row r="4301" spans="1:4" x14ac:dyDescent="0.45">
      <c r="A4301" s="7">
        <v>45467</v>
      </c>
      <c r="B4301" t="s">
        <v>97</v>
      </c>
      <c r="C4301" t="s">
        <v>104</v>
      </c>
      <c r="D4301" s="8">
        <v>117.23</v>
      </c>
    </row>
    <row r="4302" spans="1:4" x14ac:dyDescent="0.45">
      <c r="A4302" s="7">
        <v>45768</v>
      </c>
      <c r="B4302" t="s">
        <v>95</v>
      </c>
      <c r="C4302" t="s">
        <v>109</v>
      </c>
      <c r="D4302" s="8">
        <v>-39.19</v>
      </c>
    </row>
    <row r="4303" spans="1:4" x14ac:dyDescent="0.45">
      <c r="A4303" s="7">
        <v>45925</v>
      </c>
      <c r="B4303" t="s">
        <v>95</v>
      </c>
      <c r="C4303" t="s">
        <v>108</v>
      </c>
      <c r="D4303" s="8">
        <v>205.35</v>
      </c>
    </row>
    <row r="4304" spans="1:4" x14ac:dyDescent="0.45">
      <c r="A4304" s="7">
        <v>45426</v>
      </c>
      <c r="B4304" t="s">
        <v>97</v>
      </c>
      <c r="C4304" t="s">
        <v>101</v>
      </c>
      <c r="D4304" s="8">
        <v>348.41</v>
      </c>
    </row>
    <row r="4305" spans="1:4" x14ac:dyDescent="0.45">
      <c r="A4305" s="7">
        <v>45820</v>
      </c>
      <c r="B4305" t="s">
        <v>97</v>
      </c>
      <c r="C4305" t="s">
        <v>107</v>
      </c>
      <c r="D4305" s="8">
        <v>-83.2</v>
      </c>
    </row>
    <row r="4306" spans="1:4" x14ac:dyDescent="0.45">
      <c r="A4306" s="7">
        <v>46150</v>
      </c>
      <c r="B4306" t="s">
        <v>93</v>
      </c>
      <c r="C4306" t="s">
        <v>94</v>
      </c>
      <c r="D4306" s="8">
        <v>62.86</v>
      </c>
    </row>
    <row r="4307" spans="1:4" x14ac:dyDescent="0.45">
      <c r="A4307" s="7">
        <v>45545</v>
      </c>
      <c r="B4307" t="s">
        <v>97</v>
      </c>
      <c r="C4307" t="s">
        <v>101</v>
      </c>
      <c r="D4307" s="8">
        <v>420.37</v>
      </c>
    </row>
    <row r="4308" spans="1:4" x14ac:dyDescent="0.45">
      <c r="A4308" s="7">
        <v>45363</v>
      </c>
      <c r="B4308" t="s">
        <v>93</v>
      </c>
      <c r="C4308" t="s">
        <v>100</v>
      </c>
      <c r="D4308" s="8">
        <v>334.15</v>
      </c>
    </row>
    <row r="4309" spans="1:4" x14ac:dyDescent="0.45">
      <c r="A4309" s="7">
        <v>46181</v>
      </c>
      <c r="B4309" t="s">
        <v>95</v>
      </c>
      <c r="C4309" t="s">
        <v>108</v>
      </c>
      <c r="D4309" s="8">
        <v>315.7</v>
      </c>
    </row>
    <row r="4310" spans="1:4" x14ac:dyDescent="0.45">
      <c r="A4310" s="7">
        <v>45651</v>
      </c>
      <c r="B4310" t="s">
        <v>93</v>
      </c>
      <c r="C4310" t="s">
        <v>106</v>
      </c>
      <c r="D4310" s="8">
        <v>277.52999999999997</v>
      </c>
    </row>
    <row r="4311" spans="1:4" x14ac:dyDescent="0.45">
      <c r="A4311" s="7">
        <v>45977</v>
      </c>
      <c r="B4311" t="s">
        <v>93</v>
      </c>
      <c r="C4311" t="s">
        <v>100</v>
      </c>
      <c r="D4311" s="8">
        <v>50.85</v>
      </c>
    </row>
    <row r="4312" spans="1:4" x14ac:dyDescent="0.45">
      <c r="A4312" s="7">
        <v>45558</v>
      </c>
      <c r="B4312" t="s">
        <v>95</v>
      </c>
      <c r="C4312" t="s">
        <v>102</v>
      </c>
      <c r="D4312" s="8">
        <v>174.43</v>
      </c>
    </row>
    <row r="4313" spans="1:4" x14ac:dyDescent="0.45">
      <c r="A4313" s="7">
        <v>45721</v>
      </c>
      <c r="B4313" t="s">
        <v>97</v>
      </c>
      <c r="C4313" t="s">
        <v>101</v>
      </c>
      <c r="D4313" s="8">
        <v>462.6</v>
      </c>
    </row>
    <row r="4314" spans="1:4" x14ac:dyDescent="0.45">
      <c r="A4314" s="7">
        <v>45814</v>
      </c>
      <c r="B4314" t="s">
        <v>97</v>
      </c>
      <c r="C4314" t="s">
        <v>107</v>
      </c>
      <c r="D4314" s="8">
        <v>-149.15</v>
      </c>
    </row>
    <row r="4315" spans="1:4" x14ac:dyDescent="0.45">
      <c r="A4315" s="7">
        <v>45713</v>
      </c>
      <c r="B4315" t="s">
        <v>93</v>
      </c>
      <c r="C4315" t="s">
        <v>103</v>
      </c>
      <c r="D4315" s="8">
        <v>310.48</v>
      </c>
    </row>
    <row r="4316" spans="1:4" x14ac:dyDescent="0.45">
      <c r="A4316" s="7">
        <v>45431</v>
      </c>
      <c r="B4316" t="s">
        <v>93</v>
      </c>
      <c r="C4316" t="s">
        <v>94</v>
      </c>
      <c r="D4316" s="8">
        <v>-29.72</v>
      </c>
    </row>
    <row r="4317" spans="1:4" x14ac:dyDescent="0.45">
      <c r="A4317" s="7">
        <v>45784</v>
      </c>
      <c r="B4317" t="s">
        <v>93</v>
      </c>
      <c r="C4317" t="s">
        <v>106</v>
      </c>
      <c r="D4317" s="8">
        <v>360.01</v>
      </c>
    </row>
    <row r="4318" spans="1:4" x14ac:dyDescent="0.45">
      <c r="A4318" s="7">
        <v>45344</v>
      </c>
      <c r="B4318" t="s">
        <v>95</v>
      </c>
      <c r="C4318" t="s">
        <v>108</v>
      </c>
      <c r="D4318" s="8">
        <v>33.630000000000003</v>
      </c>
    </row>
    <row r="4319" spans="1:4" x14ac:dyDescent="0.45">
      <c r="A4319" s="7">
        <v>46169</v>
      </c>
      <c r="B4319" t="s">
        <v>95</v>
      </c>
      <c r="C4319" t="s">
        <v>96</v>
      </c>
      <c r="D4319" s="8">
        <v>350.04</v>
      </c>
    </row>
    <row r="4320" spans="1:4" x14ac:dyDescent="0.45">
      <c r="A4320" s="7">
        <v>45751</v>
      </c>
      <c r="B4320" t="s">
        <v>95</v>
      </c>
      <c r="C4320" t="s">
        <v>102</v>
      </c>
      <c r="D4320" s="8">
        <v>458.67</v>
      </c>
    </row>
    <row r="4321" spans="1:4" x14ac:dyDescent="0.45">
      <c r="A4321" s="7">
        <v>45751</v>
      </c>
      <c r="B4321" t="s">
        <v>93</v>
      </c>
      <c r="C4321" t="s">
        <v>94</v>
      </c>
      <c r="D4321" s="8">
        <v>153.51</v>
      </c>
    </row>
    <row r="4322" spans="1:4" x14ac:dyDescent="0.45">
      <c r="A4322" s="7">
        <v>45556</v>
      </c>
      <c r="B4322" t="s">
        <v>95</v>
      </c>
      <c r="C4322" t="s">
        <v>96</v>
      </c>
      <c r="D4322" s="8">
        <v>72.97</v>
      </c>
    </row>
    <row r="4323" spans="1:4" x14ac:dyDescent="0.45">
      <c r="A4323" s="7">
        <v>45646</v>
      </c>
      <c r="B4323" t="s">
        <v>95</v>
      </c>
      <c r="C4323" t="s">
        <v>96</v>
      </c>
      <c r="D4323" s="8">
        <v>223.9</v>
      </c>
    </row>
    <row r="4324" spans="1:4" x14ac:dyDescent="0.45">
      <c r="A4324" s="7">
        <v>45350</v>
      </c>
      <c r="B4324" t="s">
        <v>97</v>
      </c>
      <c r="C4324" t="s">
        <v>98</v>
      </c>
      <c r="D4324" s="8">
        <v>-53.22</v>
      </c>
    </row>
    <row r="4325" spans="1:4" x14ac:dyDescent="0.45">
      <c r="A4325" s="7">
        <v>45986</v>
      </c>
      <c r="B4325" t="s">
        <v>93</v>
      </c>
      <c r="C4325" t="s">
        <v>100</v>
      </c>
      <c r="D4325" s="8">
        <v>332.74</v>
      </c>
    </row>
    <row r="4326" spans="1:4" x14ac:dyDescent="0.45">
      <c r="A4326" s="7">
        <v>45516</v>
      </c>
      <c r="B4326" t="s">
        <v>95</v>
      </c>
      <c r="C4326" t="s">
        <v>105</v>
      </c>
      <c r="D4326" s="8">
        <v>257.20999999999998</v>
      </c>
    </row>
    <row r="4327" spans="1:4" x14ac:dyDescent="0.45">
      <c r="A4327" s="7">
        <v>46045</v>
      </c>
      <c r="B4327" t="s">
        <v>93</v>
      </c>
      <c r="C4327" t="s">
        <v>106</v>
      </c>
      <c r="D4327" s="8">
        <v>-23.26</v>
      </c>
    </row>
    <row r="4328" spans="1:4" x14ac:dyDescent="0.45">
      <c r="A4328" s="7">
        <v>45576</v>
      </c>
      <c r="B4328" t="s">
        <v>97</v>
      </c>
      <c r="C4328" t="s">
        <v>98</v>
      </c>
      <c r="D4328" s="8">
        <v>140.4</v>
      </c>
    </row>
    <row r="4329" spans="1:4" x14ac:dyDescent="0.45">
      <c r="A4329" s="7">
        <v>45849</v>
      </c>
      <c r="B4329" t="s">
        <v>97</v>
      </c>
      <c r="C4329" t="s">
        <v>98</v>
      </c>
      <c r="D4329" s="8">
        <v>111.72</v>
      </c>
    </row>
    <row r="4330" spans="1:4" x14ac:dyDescent="0.45">
      <c r="A4330" s="7">
        <v>45923</v>
      </c>
      <c r="B4330" t="s">
        <v>93</v>
      </c>
      <c r="C4330" t="s">
        <v>103</v>
      </c>
      <c r="D4330" s="8">
        <v>-83.95</v>
      </c>
    </row>
    <row r="4331" spans="1:4" x14ac:dyDescent="0.45">
      <c r="A4331" s="7">
        <v>45803</v>
      </c>
      <c r="B4331" t="s">
        <v>97</v>
      </c>
      <c r="C4331" t="s">
        <v>104</v>
      </c>
      <c r="D4331" s="8">
        <v>182.76</v>
      </c>
    </row>
    <row r="4332" spans="1:4" x14ac:dyDescent="0.45">
      <c r="A4332" s="7">
        <v>45634</v>
      </c>
      <c r="B4332" t="s">
        <v>97</v>
      </c>
      <c r="C4332" t="s">
        <v>101</v>
      </c>
      <c r="D4332" s="8">
        <v>18.02</v>
      </c>
    </row>
    <row r="4333" spans="1:4" x14ac:dyDescent="0.45">
      <c r="A4333" s="7">
        <v>46010</v>
      </c>
      <c r="B4333" t="s">
        <v>93</v>
      </c>
      <c r="C4333" t="s">
        <v>103</v>
      </c>
      <c r="D4333" s="8">
        <v>457.19</v>
      </c>
    </row>
    <row r="4334" spans="1:4" x14ac:dyDescent="0.45">
      <c r="A4334" s="7">
        <v>46105</v>
      </c>
      <c r="B4334" t="s">
        <v>93</v>
      </c>
      <c r="C4334" t="s">
        <v>94</v>
      </c>
      <c r="D4334" s="8">
        <v>-143.29</v>
      </c>
    </row>
    <row r="4335" spans="1:4" x14ac:dyDescent="0.45">
      <c r="A4335" s="7">
        <v>45386</v>
      </c>
      <c r="B4335" t="s">
        <v>97</v>
      </c>
      <c r="C4335" t="s">
        <v>107</v>
      </c>
      <c r="D4335" s="8">
        <v>282.43</v>
      </c>
    </row>
    <row r="4336" spans="1:4" x14ac:dyDescent="0.45">
      <c r="A4336" s="7">
        <v>46092</v>
      </c>
      <c r="B4336" t="s">
        <v>97</v>
      </c>
      <c r="C4336" t="s">
        <v>98</v>
      </c>
      <c r="D4336" s="8">
        <v>272.25</v>
      </c>
    </row>
    <row r="4337" spans="1:4" x14ac:dyDescent="0.45">
      <c r="A4337" s="7">
        <v>45331</v>
      </c>
      <c r="B4337" t="s">
        <v>97</v>
      </c>
      <c r="C4337" t="s">
        <v>98</v>
      </c>
      <c r="D4337" s="8">
        <v>164.36</v>
      </c>
    </row>
    <row r="4338" spans="1:4" x14ac:dyDescent="0.45">
      <c r="A4338" s="7">
        <v>45806</v>
      </c>
      <c r="B4338" t="s">
        <v>93</v>
      </c>
      <c r="C4338" t="s">
        <v>103</v>
      </c>
      <c r="D4338" s="8">
        <v>436.71</v>
      </c>
    </row>
    <row r="4339" spans="1:4" x14ac:dyDescent="0.45">
      <c r="A4339" s="7">
        <v>45858</v>
      </c>
      <c r="B4339" t="s">
        <v>97</v>
      </c>
      <c r="C4339" t="s">
        <v>107</v>
      </c>
      <c r="D4339" s="8">
        <v>164.22</v>
      </c>
    </row>
    <row r="4340" spans="1:4" x14ac:dyDescent="0.45">
      <c r="A4340" s="7">
        <v>45500</v>
      </c>
      <c r="B4340" t="s">
        <v>97</v>
      </c>
      <c r="C4340" t="s">
        <v>98</v>
      </c>
      <c r="D4340" s="8">
        <v>-0.16</v>
      </c>
    </row>
    <row r="4341" spans="1:4" x14ac:dyDescent="0.45">
      <c r="A4341" s="7">
        <v>45602</v>
      </c>
      <c r="B4341" t="s">
        <v>97</v>
      </c>
      <c r="C4341" t="s">
        <v>98</v>
      </c>
      <c r="D4341" s="8">
        <v>56.04</v>
      </c>
    </row>
    <row r="4342" spans="1:4" x14ac:dyDescent="0.45">
      <c r="A4342" s="7">
        <v>46138</v>
      </c>
      <c r="B4342" t="s">
        <v>95</v>
      </c>
      <c r="C4342" t="s">
        <v>108</v>
      </c>
      <c r="D4342" s="8">
        <v>1.83</v>
      </c>
    </row>
    <row r="4343" spans="1:4" x14ac:dyDescent="0.45">
      <c r="A4343" s="7">
        <v>46046</v>
      </c>
      <c r="B4343" t="s">
        <v>95</v>
      </c>
      <c r="C4343" t="s">
        <v>105</v>
      </c>
      <c r="D4343" s="8">
        <v>320.83999999999997</v>
      </c>
    </row>
    <row r="4344" spans="1:4" x14ac:dyDescent="0.45">
      <c r="A4344" s="7">
        <v>45339</v>
      </c>
      <c r="B4344" t="s">
        <v>97</v>
      </c>
      <c r="C4344" t="s">
        <v>98</v>
      </c>
      <c r="D4344" s="8">
        <v>113.75</v>
      </c>
    </row>
    <row r="4345" spans="1:4" x14ac:dyDescent="0.45">
      <c r="A4345" s="7">
        <v>45900</v>
      </c>
      <c r="B4345" t="s">
        <v>97</v>
      </c>
      <c r="C4345" t="s">
        <v>107</v>
      </c>
      <c r="D4345" s="8">
        <v>226.32</v>
      </c>
    </row>
    <row r="4346" spans="1:4" x14ac:dyDescent="0.45">
      <c r="A4346" s="7">
        <v>46123</v>
      </c>
      <c r="B4346" t="s">
        <v>95</v>
      </c>
      <c r="C4346" t="s">
        <v>108</v>
      </c>
      <c r="D4346" s="8">
        <v>-50.01</v>
      </c>
    </row>
    <row r="4347" spans="1:4" x14ac:dyDescent="0.45">
      <c r="A4347" s="7">
        <v>46163</v>
      </c>
      <c r="B4347" t="s">
        <v>95</v>
      </c>
      <c r="C4347" t="s">
        <v>108</v>
      </c>
      <c r="D4347" s="8">
        <v>254.67</v>
      </c>
    </row>
    <row r="4348" spans="1:4" x14ac:dyDescent="0.45">
      <c r="A4348" s="7">
        <v>45348</v>
      </c>
      <c r="B4348" t="s">
        <v>93</v>
      </c>
      <c r="C4348" t="s">
        <v>103</v>
      </c>
      <c r="D4348" s="8">
        <v>402.3</v>
      </c>
    </row>
    <row r="4349" spans="1:4" x14ac:dyDescent="0.45">
      <c r="A4349" s="7">
        <v>46038</v>
      </c>
      <c r="B4349" t="s">
        <v>97</v>
      </c>
      <c r="C4349" t="s">
        <v>107</v>
      </c>
      <c r="D4349" s="8">
        <v>142.91</v>
      </c>
    </row>
    <row r="4350" spans="1:4" x14ac:dyDescent="0.45">
      <c r="A4350" s="7">
        <v>45432</v>
      </c>
      <c r="B4350" t="s">
        <v>93</v>
      </c>
      <c r="C4350" t="s">
        <v>103</v>
      </c>
      <c r="D4350" s="8">
        <v>79.08</v>
      </c>
    </row>
    <row r="4351" spans="1:4" x14ac:dyDescent="0.45">
      <c r="A4351" s="7">
        <v>45932</v>
      </c>
      <c r="B4351" t="s">
        <v>97</v>
      </c>
      <c r="C4351" t="s">
        <v>107</v>
      </c>
      <c r="D4351" s="8">
        <v>84.63</v>
      </c>
    </row>
    <row r="4352" spans="1:4" x14ac:dyDescent="0.45">
      <c r="A4352" s="7">
        <v>45514</v>
      </c>
      <c r="B4352" t="s">
        <v>93</v>
      </c>
      <c r="C4352" t="s">
        <v>103</v>
      </c>
      <c r="D4352" s="8">
        <v>105.09</v>
      </c>
    </row>
    <row r="4353" spans="1:4" x14ac:dyDescent="0.45">
      <c r="A4353" s="7">
        <v>45535</v>
      </c>
      <c r="B4353" t="s">
        <v>93</v>
      </c>
      <c r="C4353" t="s">
        <v>94</v>
      </c>
      <c r="D4353" s="8">
        <v>12.08</v>
      </c>
    </row>
    <row r="4354" spans="1:4" x14ac:dyDescent="0.45">
      <c r="A4354" s="7">
        <v>46048</v>
      </c>
      <c r="B4354" t="s">
        <v>97</v>
      </c>
      <c r="C4354" t="s">
        <v>101</v>
      </c>
      <c r="D4354" s="8">
        <v>-44.65</v>
      </c>
    </row>
    <row r="4355" spans="1:4" x14ac:dyDescent="0.45">
      <c r="A4355" s="7">
        <v>45454</v>
      </c>
      <c r="B4355" t="s">
        <v>95</v>
      </c>
      <c r="C4355" t="s">
        <v>102</v>
      </c>
      <c r="D4355" s="8">
        <v>25.91</v>
      </c>
    </row>
    <row r="4356" spans="1:4" x14ac:dyDescent="0.45">
      <c r="A4356" s="7">
        <v>45643</v>
      </c>
      <c r="B4356" t="s">
        <v>93</v>
      </c>
      <c r="C4356" t="s">
        <v>103</v>
      </c>
      <c r="D4356" s="8">
        <v>125.08</v>
      </c>
    </row>
    <row r="4357" spans="1:4" x14ac:dyDescent="0.45">
      <c r="A4357" s="7">
        <v>45677</v>
      </c>
      <c r="B4357" t="s">
        <v>95</v>
      </c>
      <c r="C4357" t="s">
        <v>96</v>
      </c>
      <c r="D4357" s="8">
        <v>458.2</v>
      </c>
    </row>
    <row r="4358" spans="1:4" x14ac:dyDescent="0.45">
      <c r="A4358" s="7">
        <v>45491</v>
      </c>
      <c r="B4358" t="s">
        <v>97</v>
      </c>
      <c r="C4358" t="s">
        <v>104</v>
      </c>
      <c r="D4358" s="8">
        <v>-76.8</v>
      </c>
    </row>
    <row r="4359" spans="1:4" x14ac:dyDescent="0.45">
      <c r="A4359" s="7">
        <v>45929</v>
      </c>
      <c r="B4359" t="s">
        <v>97</v>
      </c>
      <c r="C4359" t="s">
        <v>101</v>
      </c>
      <c r="D4359" s="8">
        <v>69.98</v>
      </c>
    </row>
    <row r="4360" spans="1:4" x14ac:dyDescent="0.45">
      <c r="A4360" s="7">
        <v>45456</v>
      </c>
      <c r="B4360" t="s">
        <v>97</v>
      </c>
      <c r="C4360" t="s">
        <v>98</v>
      </c>
      <c r="D4360" s="8">
        <v>182.7</v>
      </c>
    </row>
    <row r="4361" spans="1:4" x14ac:dyDescent="0.45">
      <c r="A4361" s="7">
        <v>45406</v>
      </c>
      <c r="B4361" t="s">
        <v>93</v>
      </c>
      <c r="C4361" t="s">
        <v>100</v>
      </c>
      <c r="D4361" s="8">
        <v>71.64</v>
      </c>
    </row>
    <row r="4362" spans="1:4" x14ac:dyDescent="0.45">
      <c r="A4362" s="7">
        <v>45884</v>
      </c>
      <c r="B4362" t="s">
        <v>97</v>
      </c>
      <c r="C4362" t="s">
        <v>101</v>
      </c>
      <c r="D4362" s="8">
        <v>114.3</v>
      </c>
    </row>
    <row r="4363" spans="1:4" x14ac:dyDescent="0.45">
      <c r="A4363" s="7">
        <v>45927</v>
      </c>
      <c r="B4363" t="s">
        <v>95</v>
      </c>
      <c r="C4363" t="s">
        <v>99</v>
      </c>
      <c r="D4363" s="8">
        <v>187.04</v>
      </c>
    </row>
    <row r="4364" spans="1:4" x14ac:dyDescent="0.45">
      <c r="A4364" s="7">
        <v>45870</v>
      </c>
      <c r="B4364" t="s">
        <v>95</v>
      </c>
      <c r="C4364" t="s">
        <v>105</v>
      </c>
      <c r="D4364" s="8">
        <v>413.3</v>
      </c>
    </row>
    <row r="4365" spans="1:4" x14ac:dyDescent="0.45">
      <c r="A4365" s="7">
        <v>45996</v>
      </c>
      <c r="B4365" t="s">
        <v>95</v>
      </c>
      <c r="C4365" t="s">
        <v>109</v>
      </c>
      <c r="D4365" s="8">
        <v>215.31</v>
      </c>
    </row>
    <row r="4366" spans="1:4" x14ac:dyDescent="0.45">
      <c r="A4366" s="7">
        <v>45496</v>
      </c>
      <c r="B4366" t="s">
        <v>93</v>
      </c>
      <c r="C4366" t="s">
        <v>106</v>
      </c>
      <c r="D4366" s="8">
        <v>-98.04</v>
      </c>
    </row>
    <row r="4367" spans="1:4" x14ac:dyDescent="0.45">
      <c r="A4367" s="7">
        <v>45699</v>
      </c>
      <c r="B4367" t="s">
        <v>97</v>
      </c>
      <c r="C4367" t="s">
        <v>104</v>
      </c>
      <c r="D4367" s="8">
        <v>14.42</v>
      </c>
    </row>
    <row r="4368" spans="1:4" x14ac:dyDescent="0.45">
      <c r="A4368" s="7">
        <v>45581</v>
      </c>
      <c r="B4368" t="s">
        <v>95</v>
      </c>
      <c r="C4368" t="s">
        <v>108</v>
      </c>
      <c r="D4368" s="8">
        <v>208.69</v>
      </c>
    </row>
    <row r="4369" spans="1:4" x14ac:dyDescent="0.45">
      <c r="A4369" s="7">
        <v>45311</v>
      </c>
      <c r="B4369" t="s">
        <v>93</v>
      </c>
      <c r="C4369" t="s">
        <v>100</v>
      </c>
      <c r="D4369" s="8">
        <v>164.39</v>
      </c>
    </row>
    <row r="4370" spans="1:4" x14ac:dyDescent="0.45">
      <c r="A4370" s="7">
        <v>45638</v>
      </c>
      <c r="B4370" t="s">
        <v>97</v>
      </c>
      <c r="C4370" t="s">
        <v>104</v>
      </c>
      <c r="D4370" s="8">
        <v>234.94</v>
      </c>
    </row>
    <row r="4371" spans="1:4" x14ac:dyDescent="0.45">
      <c r="A4371" s="7">
        <v>45756</v>
      </c>
      <c r="B4371" t="s">
        <v>97</v>
      </c>
      <c r="C4371" t="s">
        <v>107</v>
      </c>
      <c r="D4371" s="8">
        <v>462.72</v>
      </c>
    </row>
    <row r="4372" spans="1:4" x14ac:dyDescent="0.45">
      <c r="A4372" s="7">
        <v>45299</v>
      </c>
      <c r="B4372" t="s">
        <v>93</v>
      </c>
      <c r="C4372" t="s">
        <v>94</v>
      </c>
      <c r="D4372" s="8">
        <v>264.3</v>
      </c>
    </row>
    <row r="4373" spans="1:4" x14ac:dyDescent="0.45">
      <c r="A4373" s="7">
        <v>45978</v>
      </c>
      <c r="B4373" t="s">
        <v>97</v>
      </c>
      <c r="C4373" t="s">
        <v>104</v>
      </c>
      <c r="D4373" s="8">
        <v>271.88</v>
      </c>
    </row>
    <row r="4374" spans="1:4" x14ac:dyDescent="0.45">
      <c r="A4374" s="7">
        <v>45774</v>
      </c>
      <c r="B4374" t="s">
        <v>93</v>
      </c>
      <c r="C4374" t="s">
        <v>94</v>
      </c>
      <c r="D4374" s="8">
        <v>444.24</v>
      </c>
    </row>
    <row r="4375" spans="1:4" x14ac:dyDescent="0.45">
      <c r="A4375" s="7">
        <v>46020</v>
      </c>
      <c r="B4375" t="s">
        <v>93</v>
      </c>
      <c r="C4375" t="s">
        <v>100</v>
      </c>
      <c r="D4375" s="8">
        <v>319.95</v>
      </c>
    </row>
    <row r="4376" spans="1:4" x14ac:dyDescent="0.45">
      <c r="A4376" s="7">
        <v>45619</v>
      </c>
      <c r="B4376" t="s">
        <v>93</v>
      </c>
      <c r="C4376" t="s">
        <v>103</v>
      </c>
      <c r="D4376" s="8">
        <v>-88.21</v>
      </c>
    </row>
    <row r="4377" spans="1:4" x14ac:dyDescent="0.45">
      <c r="A4377" s="7">
        <v>45721</v>
      </c>
      <c r="B4377" t="s">
        <v>97</v>
      </c>
      <c r="C4377" t="s">
        <v>98</v>
      </c>
      <c r="D4377" s="8">
        <v>463.9</v>
      </c>
    </row>
    <row r="4378" spans="1:4" x14ac:dyDescent="0.45">
      <c r="A4378" s="7">
        <v>45626</v>
      </c>
      <c r="B4378" t="s">
        <v>93</v>
      </c>
      <c r="C4378" t="s">
        <v>94</v>
      </c>
      <c r="D4378" s="8">
        <v>334.06</v>
      </c>
    </row>
    <row r="4379" spans="1:4" x14ac:dyDescent="0.45">
      <c r="A4379" s="7">
        <v>45312</v>
      </c>
      <c r="B4379" t="s">
        <v>95</v>
      </c>
      <c r="C4379" t="s">
        <v>99</v>
      </c>
      <c r="D4379" s="8">
        <v>260.83</v>
      </c>
    </row>
    <row r="4380" spans="1:4" x14ac:dyDescent="0.45">
      <c r="A4380" s="7">
        <v>45666</v>
      </c>
      <c r="B4380" t="s">
        <v>95</v>
      </c>
      <c r="C4380" t="s">
        <v>109</v>
      </c>
      <c r="D4380" s="8">
        <v>170.66</v>
      </c>
    </row>
    <row r="4381" spans="1:4" x14ac:dyDescent="0.45">
      <c r="A4381" s="7">
        <v>45547</v>
      </c>
      <c r="B4381" t="s">
        <v>93</v>
      </c>
      <c r="C4381" t="s">
        <v>100</v>
      </c>
      <c r="D4381" s="8">
        <v>-75.599999999999994</v>
      </c>
    </row>
    <row r="4382" spans="1:4" x14ac:dyDescent="0.45">
      <c r="A4382" s="7">
        <v>45333</v>
      </c>
      <c r="B4382" t="s">
        <v>93</v>
      </c>
      <c r="C4382" t="s">
        <v>106</v>
      </c>
      <c r="D4382" s="8">
        <v>104.16</v>
      </c>
    </row>
    <row r="4383" spans="1:4" x14ac:dyDescent="0.45">
      <c r="A4383" s="7">
        <v>45412</v>
      </c>
      <c r="B4383" t="s">
        <v>95</v>
      </c>
      <c r="C4383" t="s">
        <v>102</v>
      </c>
      <c r="D4383" s="8">
        <v>250.19</v>
      </c>
    </row>
    <row r="4384" spans="1:4" x14ac:dyDescent="0.45">
      <c r="A4384" s="7">
        <v>45486</v>
      </c>
      <c r="B4384" t="s">
        <v>97</v>
      </c>
      <c r="C4384" t="s">
        <v>98</v>
      </c>
      <c r="D4384" s="8">
        <v>489.94</v>
      </c>
    </row>
    <row r="4385" spans="1:4" x14ac:dyDescent="0.45">
      <c r="A4385" s="7">
        <v>46167</v>
      </c>
      <c r="B4385" t="s">
        <v>93</v>
      </c>
      <c r="C4385" t="s">
        <v>106</v>
      </c>
      <c r="D4385" s="8">
        <v>50.45</v>
      </c>
    </row>
    <row r="4386" spans="1:4" x14ac:dyDescent="0.45">
      <c r="A4386" s="7">
        <v>45792</v>
      </c>
      <c r="B4386" t="s">
        <v>97</v>
      </c>
      <c r="C4386" t="s">
        <v>101</v>
      </c>
      <c r="D4386" s="8">
        <v>-42.57</v>
      </c>
    </row>
    <row r="4387" spans="1:4" x14ac:dyDescent="0.45">
      <c r="A4387" s="7">
        <v>45526</v>
      </c>
      <c r="B4387" t="s">
        <v>97</v>
      </c>
      <c r="C4387" t="s">
        <v>107</v>
      </c>
      <c r="D4387" s="8">
        <v>458.49</v>
      </c>
    </row>
    <row r="4388" spans="1:4" x14ac:dyDescent="0.45">
      <c r="A4388" s="7">
        <v>45934</v>
      </c>
      <c r="B4388" t="s">
        <v>93</v>
      </c>
      <c r="C4388" t="s">
        <v>103</v>
      </c>
      <c r="D4388" s="8">
        <v>406.37</v>
      </c>
    </row>
    <row r="4389" spans="1:4" x14ac:dyDescent="0.45">
      <c r="A4389" s="7">
        <v>45459</v>
      </c>
      <c r="B4389" t="s">
        <v>97</v>
      </c>
      <c r="C4389" t="s">
        <v>104</v>
      </c>
      <c r="D4389" s="8">
        <v>232.71</v>
      </c>
    </row>
    <row r="4390" spans="1:4" x14ac:dyDescent="0.45">
      <c r="A4390" s="7">
        <v>45930</v>
      </c>
      <c r="B4390" t="s">
        <v>97</v>
      </c>
      <c r="C4390" t="s">
        <v>104</v>
      </c>
      <c r="D4390" s="8">
        <v>245.55</v>
      </c>
    </row>
    <row r="4391" spans="1:4" x14ac:dyDescent="0.45">
      <c r="A4391" s="7">
        <v>45759</v>
      </c>
      <c r="B4391" t="s">
        <v>93</v>
      </c>
      <c r="C4391" t="s">
        <v>106</v>
      </c>
      <c r="D4391" s="8">
        <v>442.22</v>
      </c>
    </row>
    <row r="4392" spans="1:4" x14ac:dyDescent="0.45">
      <c r="A4392" s="7">
        <v>45460</v>
      </c>
      <c r="B4392" t="s">
        <v>97</v>
      </c>
      <c r="C4392" t="s">
        <v>104</v>
      </c>
      <c r="D4392" s="8">
        <v>176.13</v>
      </c>
    </row>
    <row r="4393" spans="1:4" x14ac:dyDescent="0.45">
      <c r="A4393" s="7">
        <v>45593</v>
      </c>
      <c r="B4393" t="s">
        <v>93</v>
      </c>
      <c r="C4393" t="s">
        <v>103</v>
      </c>
      <c r="D4393" s="8">
        <v>220.17</v>
      </c>
    </row>
    <row r="4394" spans="1:4" x14ac:dyDescent="0.45">
      <c r="A4394" s="7">
        <v>46070</v>
      </c>
      <c r="B4394" t="s">
        <v>97</v>
      </c>
      <c r="C4394" t="s">
        <v>107</v>
      </c>
      <c r="D4394" s="8">
        <v>343.49</v>
      </c>
    </row>
    <row r="4395" spans="1:4" x14ac:dyDescent="0.45">
      <c r="A4395" s="7">
        <v>45358</v>
      </c>
      <c r="B4395" t="s">
        <v>95</v>
      </c>
      <c r="C4395" t="s">
        <v>99</v>
      </c>
      <c r="D4395" s="8">
        <v>222.6</v>
      </c>
    </row>
    <row r="4396" spans="1:4" x14ac:dyDescent="0.45">
      <c r="A4396" s="7">
        <v>46107</v>
      </c>
      <c r="B4396" t="s">
        <v>93</v>
      </c>
      <c r="C4396" t="s">
        <v>100</v>
      </c>
      <c r="D4396" s="8">
        <v>448.33</v>
      </c>
    </row>
    <row r="4397" spans="1:4" x14ac:dyDescent="0.45">
      <c r="A4397" s="7">
        <v>45375</v>
      </c>
      <c r="B4397" t="s">
        <v>93</v>
      </c>
      <c r="C4397" t="s">
        <v>103</v>
      </c>
      <c r="D4397" s="8">
        <v>487.72</v>
      </c>
    </row>
    <row r="4398" spans="1:4" x14ac:dyDescent="0.45">
      <c r="A4398" s="7">
        <v>45874</v>
      </c>
      <c r="B4398" t="s">
        <v>95</v>
      </c>
      <c r="C4398" t="s">
        <v>109</v>
      </c>
      <c r="D4398" s="8">
        <v>124.15</v>
      </c>
    </row>
    <row r="4399" spans="1:4" x14ac:dyDescent="0.45">
      <c r="A4399" s="7">
        <v>45927</v>
      </c>
      <c r="B4399" t="s">
        <v>93</v>
      </c>
      <c r="C4399" t="s">
        <v>94</v>
      </c>
      <c r="D4399" s="8">
        <v>134.58000000000001</v>
      </c>
    </row>
    <row r="4400" spans="1:4" x14ac:dyDescent="0.45">
      <c r="A4400" s="7">
        <v>46178</v>
      </c>
      <c r="B4400" t="s">
        <v>93</v>
      </c>
      <c r="C4400" t="s">
        <v>100</v>
      </c>
      <c r="D4400" s="8">
        <v>-85.11</v>
      </c>
    </row>
    <row r="4401" spans="1:4" x14ac:dyDescent="0.45">
      <c r="A4401" s="7">
        <v>45961</v>
      </c>
      <c r="B4401" t="s">
        <v>95</v>
      </c>
      <c r="C4401" t="s">
        <v>102</v>
      </c>
      <c r="D4401" s="8">
        <v>495.07</v>
      </c>
    </row>
    <row r="4402" spans="1:4" x14ac:dyDescent="0.45">
      <c r="A4402" s="7">
        <v>45619</v>
      </c>
      <c r="B4402" t="s">
        <v>93</v>
      </c>
      <c r="C4402" t="s">
        <v>94</v>
      </c>
      <c r="D4402" s="8">
        <v>481.34</v>
      </c>
    </row>
    <row r="4403" spans="1:4" x14ac:dyDescent="0.45">
      <c r="A4403" s="7">
        <v>45876</v>
      </c>
      <c r="B4403" t="s">
        <v>95</v>
      </c>
      <c r="C4403" t="s">
        <v>99</v>
      </c>
      <c r="D4403" s="8">
        <v>313.51</v>
      </c>
    </row>
    <row r="4404" spans="1:4" x14ac:dyDescent="0.45">
      <c r="A4404" s="7">
        <v>45502</v>
      </c>
      <c r="B4404" t="s">
        <v>95</v>
      </c>
      <c r="C4404" t="s">
        <v>108</v>
      </c>
      <c r="D4404" s="8">
        <v>-66.27</v>
      </c>
    </row>
    <row r="4405" spans="1:4" x14ac:dyDescent="0.45">
      <c r="A4405" s="7">
        <v>45860</v>
      </c>
      <c r="B4405" t="s">
        <v>97</v>
      </c>
      <c r="C4405" t="s">
        <v>101</v>
      </c>
      <c r="D4405" s="8">
        <v>-110.54</v>
      </c>
    </row>
    <row r="4406" spans="1:4" x14ac:dyDescent="0.45">
      <c r="A4406" s="7">
        <v>45346</v>
      </c>
      <c r="B4406" t="s">
        <v>97</v>
      </c>
      <c r="C4406" t="s">
        <v>107</v>
      </c>
      <c r="D4406" s="8">
        <v>118.25</v>
      </c>
    </row>
    <row r="4407" spans="1:4" x14ac:dyDescent="0.45">
      <c r="A4407" s="7">
        <v>45892</v>
      </c>
      <c r="B4407" t="s">
        <v>95</v>
      </c>
      <c r="C4407" t="s">
        <v>109</v>
      </c>
      <c r="D4407" s="8">
        <v>-149.09</v>
      </c>
    </row>
    <row r="4408" spans="1:4" x14ac:dyDescent="0.45">
      <c r="A4408" s="7">
        <v>46043</v>
      </c>
      <c r="B4408" t="s">
        <v>97</v>
      </c>
      <c r="C4408" t="s">
        <v>101</v>
      </c>
      <c r="D4408" s="8">
        <v>350.38</v>
      </c>
    </row>
    <row r="4409" spans="1:4" x14ac:dyDescent="0.45">
      <c r="A4409" s="7">
        <v>45437</v>
      </c>
      <c r="B4409" t="s">
        <v>95</v>
      </c>
      <c r="C4409" t="s">
        <v>105</v>
      </c>
      <c r="D4409" s="8">
        <v>396.29</v>
      </c>
    </row>
    <row r="4410" spans="1:4" x14ac:dyDescent="0.45">
      <c r="A4410" s="7">
        <v>45977</v>
      </c>
      <c r="B4410" t="s">
        <v>97</v>
      </c>
      <c r="C4410" t="s">
        <v>104</v>
      </c>
      <c r="D4410" s="8">
        <v>-3.8</v>
      </c>
    </row>
    <row r="4411" spans="1:4" x14ac:dyDescent="0.45">
      <c r="A4411" s="7">
        <v>45885</v>
      </c>
      <c r="B4411" t="s">
        <v>95</v>
      </c>
      <c r="C4411" t="s">
        <v>96</v>
      </c>
      <c r="D4411" s="8">
        <v>335.79</v>
      </c>
    </row>
    <row r="4412" spans="1:4" x14ac:dyDescent="0.45">
      <c r="A4412" s="7">
        <v>45350</v>
      </c>
      <c r="B4412" t="s">
        <v>93</v>
      </c>
      <c r="C4412" t="s">
        <v>103</v>
      </c>
      <c r="D4412" s="8">
        <v>401.8</v>
      </c>
    </row>
    <row r="4413" spans="1:4" x14ac:dyDescent="0.45">
      <c r="A4413" s="7">
        <v>45414</v>
      </c>
      <c r="B4413" t="s">
        <v>93</v>
      </c>
      <c r="C4413" t="s">
        <v>94</v>
      </c>
      <c r="D4413" s="8">
        <v>155.22999999999999</v>
      </c>
    </row>
    <row r="4414" spans="1:4" x14ac:dyDescent="0.45">
      <c r="A4414" s="7">
        <v>45481</v>
      </c>
      <c r="B4414" t="s">
        <v>95</v>
      </c>
      <c r="C4414" t="s">
        <v>109</v>
      </c>
      <c r="D4414" s="8">
        <v>13.96</v>
      </c>
    </row>
    <row r="4415" spans="1:4" x14ac:dyDescent="0.45">
      <c r="A4415" s="7">
        <v>45711</v>
      </c>
      <c r="B4415" t="s">
        <v>95</v>
      </c>
      <c r="C4415" t="s">
        <v>102</v>
      </c>
      <c r="D4415" s="8">
        <v>60.98</v>
      </c>
    </row>
    <row r="4416" spans="1:4" x14ac:dyDescent="0.45">
      <c r="A4416" s="7">
        <v>45394</v>
      </c>
      <c r="B4416" t="s">
        <v>95</v>
      </c>
      <c r="C4416" t="s">
        <v>96</v>
      </c>
      <c r="D4416" s="8">
        <v>3.67</v>
      </c>
    </row>
    <row r="4417" spans="1:4" x14ac:dyDescent="0.45">
      <c r="A4417" s="7">
        <v>45312</v>
      </c>
      <c r="B4417" t="s">
        <v>97</v>
      </c>
      <c r="C4417" t="s">
        <v>104</v>
      </c>
      <c r="D4417" s="8">
        <v>433.53</v>
      </c>
    </row>
    <row r="4418" spans="1:4" x14ac:dyDescent="0.45">
      <c r="A4418" s="7">
        <v>45781</v>
      </c>
      <c r="B4418" t="s">
        <v>97</v>
      </c>
      <c r="C4418" t="s">
        <v>107</v>
      </c>
      <c r="D4418" s="8">
        <v>-4.58</v>
      </c>
    </row>
    <row r="4419" spans="1:4" x14ac:dyDescent="0.45">
      <c r="A4419" s="7">
        <v>45302</v>
      </c>
      <c r="B4419" t="s">
        <v>93</v>
      </c>
      <c r="C4419" t="s">
        <v>103</v>
      </c>
      <c r="D4419" s="8">
        <v>130.83000000000001</v>
      </c>
    </row>
    <row r="4420" spans="1:4" x14ac:dyDescent="0.45">
      <c r="A4420" s="7">
        <v>45307</v>
      </c>
      <c r="B4420" t="s">
        <v>97</v>
      </c>
      <c r="C4420" t="s">
        <v>101</v>
      </c>
      <c r="D4420" s="8">
        <v>44.64</v>
      </c>
    </row>
    <row r="4421" spans="1:4" x14ac:dyDescent="0.45">
      <c r="A4421" s="7">
        <v>46152</v>
      </c>
      <c r="B4421" t="s">
        <v>93</v>
      </c>
      <c r="C4421" t="s">
        <v>100</v>
      </c>
      <c r="D4421" s="8">
        <v>285.58</v>
      </c>
    </row>
    <row r="4422" spans="1:4" x14ac:dyDescent="0.45">
      <c r="A4422" s="7">
        <v>45485</v>
      </c>
      <c r="B4422" t="s">
        <v>97</v>
      </c>
      <c r="C4422" t="s">
        <v>98</v>
      </c>
      <c r="D4422" s="8">
        <v>458.26</v>
      </c>
    </row>
    <row r="4423" spans="1:4" x14ac:dyDescent="0.45">
      <c r="A4423" s="7">
        <v>45799</v>
      </c>
      <c r="B4423" t="s">
        <v>93</v>
      </c>
      <c r="C4423" t="s">
        <v>103</v>
      </c>
      <c r="D4423" s="8">
        <v>144.24</v>
      </c>
    </row>
    <row r="4424" spans="1:4" x14ac:dyDescent="0.45">
      <c r="A4424" s="7">
        <v>46121</v>
      </c>
      <c r="B4424" t="s">
        <v>95</v>
      </c>
      <c r="C4424" t="s">
        <v>105</v>
      </c>
      <c r="D4424" s="8">
        <v>444.44</v>
      </c>
    </row>
    <row r="4425" spans="1:4" x14ac:dyDescent="0.45">
      <c r="A4425" s="7">
        <v>45656</v>
      </c>
      <c r="B4425" t="s">
        <v>93</v>
      </c>
      <c r="C4425" t="s">
        <v>103</v>
      </c>
      <c r="D4425" s="8">
        <v>217.35</v>
      </c>
    </row>
    <row r="4426" spans="1:4" x14ac:dyDescent="0.45">
      <c r="A4426" s="7">
        <v>45353</v>
      </c>
      <c r="B4426" t="s">
        <v>97</v>
      </c>
      <c r="C4426" t="s">
        <v>107</v>
      </c>
      <c r="D4426" s="8">
        <v>73.45</v>
      </c>
    </row>
    <row r="4427" spans="1:4" x14ac:dyDescent="0.45">
      <c r="A4427" s="7">
        <v>46157</v>
      </c>
      <c r="B4427" t="s">
        <v>93</v>
      </c>
      <c r="C4427" t="s">
        <v>106</v>
      </c>
      <c r="D4427" s="8">
        <v>-12.45</v>
      </c>
    </row>
    <row r="4428" spans="1:4" x14ac:dyDescent="0.45">
      <c r="A4428" s="7">
        <v>45557</v>
      </c>
      <c r="B4428" t="s">
        <v>95</v>
      </c>
      <c r="C4428" t="s">
        <v>108</v>
      </c>
      <c r="D4428" s="8">
        <v>351.02</v>
      </c>
    </row>
    <row r="4429" spans="1:4" x14ac:dyDescent="0.45">
      <c r="A4429" s="7">
        <v>45932</v>
      </c>
      <c r="B4429" t="s">
        <v>93</v>
      </c>
      <c r="C4429" t="s">
        <v>100</v>
      </c>
      <c r="D4429" s="8">
        <v>105.75</v>
      </c>
    </row>
    <row r="4430" spans="1:4" x14ac:dyDescent="0.45">
      <c r="A4430" s="7">
        <v>46074</v>
      </c>
      <c r="B4430" t="s">
        <v>97</v>
      </c>
      <c r="C4430" t="s">
        <v>101</v>
      </c>
      <c r="D4430" s="8">
        <v>108.71</v>
      </c>
    </row>
    <row r="4431" spans="1:4" x14ac:dyDescent="0.45">
      <c r="A4431" s="7">
        <v>45442</v>
      </c>
      <c r="B4431" t="s">
        <v>95</v>
      </c>
      <c r="C4431" t="s">
        <v>109</v>
      </c>
      <c r="D4431" s="8">
        <v>97.78</v>
      </c>
    </row>
    <row r="4432" spans="1:4" x14ac:dyDescent="0.45">
      <c r="A4432" s="7">
        <v>45510</v>
      </c>
      <c r="B4432" t="s">
        <v>97</v>
      </c>
      <c r="C4432" t="s">
        <v>98</v>
      </c>
      <c r="D4432" s="8">
        <v>99.37</v>
      </c>
    </row>
    <row r="4433" spans="1:4" x14ac:dyDescent="0.45">
      <c r="A4433" s="7">
        <v>46191</v>
      </c>
      <c r="B4433" t="s">
        <v>93</v>
      </c>
      <c r="C4433" t="s">
        <v>106</v>
      </c>
      <c r="D4433" s="8">
        <v>109.16</v>
      </c>
    </row>
    <row r="4434" spans="1:4" x14ac:dyDescent="0.45">
      <c r="A4434" s="7">
        <v>45385</v>
      </c>
      <c r="B4434" t="s">
        <v>97</v>
      </c>
      <c r="C4434" t="s">
        <v>107</v>
      </c>
      <c r="D4434" s="8">
        <v>-130.57</v>
      </c>
    </row>
    <row r="4435" spans="1:4" x14ac:dyDescent="0.45">
      <c r="A4435" s="7">
        <v>45896</v>
      </c>
      <c r="B4435" t="s">
        <v>95</v>
      </c>
      <c r="C4435" t="s">
        <v>105</v>
      </c>
      <c r="D4435" s="8">
        <v>-91.68</v>
      </c>
    </row>
    <row r="4436" spans="1:4" x14ac:dyDescent="0.45">
      <c r="A4436" s="7">
        <v>45523</v>
      </c>
      <c r="B4436" t="s">
        <v>95</v>
      </c>
      <c r="C4436" t="s">
        <v>109</v>
      </c>
      <c r="D4436" s="8">
        <v>-139.41</v>
      </c>
    </row>
    <row r="4437" spans="1:4" x14ac:dyDescent="0.45">
      <c r="A4437" s="7">
        <v>45486</v>
      </c>
      <c r="B4437" t="s">
        <v>93</v>
      </c>
      <c r="C4437" t="s">
        <v>100</v>
      </c>
      <c r="D4437" s="8">
        <v>392.46</v>
      </c>
    </row>
    <row r="4438" spans="1:4" x14ac:dyDescent="0.45">
      <c r="A4438" s="7">
        <v>45560</v>
      </c>
      <c r="B4438" t="s">
        <v>93</v>
      </c>
      <c r="C4438" t="s">
        <v>94</v>
      </c>
      <c r="D4438" s="8">
        <v>493.97</v>
      </c>
    </row>
    <row r="4439" spans="1:4" x14ac:dyDescent="0.45">
      <c r="A4439" s="7">
        <v>45424</v>
      </c>
      <c r="B4439" t="s">
        <v>97</v>
      </c>
      <c r="C4439" t="s">
        <v>101</v>
      </c>
      <c r="D4439" s="8">
        <v>-3.86</v>
      </c>
    </row>
    <row r="4440" spans="1:4" x14ac:dyDescent="0.45">
      <c r="A4440" s="7">
        <v>45574</v>
      </c>
      <c r="B4440" t="s">
        <v>97</v>
      </c>
      <c r="C4440" t="s">
        <v>98</v>
      </c>
      <c r="D4440" s="8">
        <v>271.05</v>
      </c>
    </row>
    <row r="4441" spans="1:4" x14ac:dyDescent="0.45">
      <c r="A4441" s="7">
        <v>45673</v>
      </c>
      <c r="B4441" t="s">
        <v>95</v>
      </c>
      <c r="C4441" t="s">
        <v>99</v>
      </c>
      <c r="D4441" s="8">
        <v>31.88</v>
      </c>
    </row>
    <row r="4442" spans="1:4" x14ac:dyDescent="0.45">
      <c r="A4442" s="7">
        <v>45403</v>
      </c>
      <c r="B4442" t="s">
        <v>95</v>
      </c>
      <c r="C4442" t="s">
        <v>105</v>
      </c>
      <c r="D4442" s="8">
        <v>169.61</v>
      </c>
    </row>
    <row r="4443" spans="1:4" x14ac:dyDescent="0.45">
      <c r="A4443" s="7">
        <v>45507</v>
      </c>
      <c r="B4443" t="s">
        <v>93</v>
      </c>
      <c r="C4443" t="s">
        <v>100</v>
      </c>
      <c r="D4443" s="8">
        <v>-47.29</v>
      </c>
    </row>
    <row r="4444" spans="1:4" x14ac:dyDescent="0.45">
      <c r="A4444" s="7">
        <v>45674</v>
      </c>
      <c r="B4444" t="s">
        <v>97</v>
      </c>
      <c r="C4444" t="s">
        <v>101</v>
      </c>
      <c r="D4444" s="8">
        <v>-35.83</v>
      </c>
    </row>
    <row r="4445" spans="1:4" x14ac:dyDescent="0.45">
      <c r="A4445" s="7">
        <v>46100</v>
      </c>
      <c r="B4445" t="s">
        <v>95</v>
      </c>
      <c r="C4445" t="s">
        <v>96</v>
      </c>
      <c r="D4445" s="8">
        <v>365.27</v>
      </c>
    </row>
    <row r="4446" spans="1:4" x14ac:dyDescent="0.45">
      <c r="A4446" s="7">
        <v>45648</v>
      </c>
      <c r="B4446" t="s">
        <v>93</v>
      </c>
      <c r="C4446" t="s">
        <v>106</v>
      </c>
      <c r="D4446" s="8">
        <v>414.39</v>
      </c>
    </row>
    <row r="4447" spans="1:4" x14ac:dyDescent="0.45">
      <c r="A4447" s="7">
        <v>45638</v>
      </c>
      <c r="B4447" t="s">
        <v>97</v>
      </c>
      <c r="C4447" t="s">
        <v>101</v>
      </c>
      <c r="D4447" s="8">
        <v>81.16</v>
      </c>
    </row>
    <row r="4448" spans="1:4" x14ac:dyDescent="0.45">
      <c r="A4448" s="7">
        <v>46084</v>
      </c>
      <c r="B4448" t="s">
        <v>93</v>
      </c>
      <c r="C4448" t="s">
        <v>100</v>
      </c>
      <c r="D4448" s="8">
        <v>245.1</v>
      </c>
    </row>
    <row r="4449" spans="1:4" x14ac:dyDescent="0.45">
      <c r="A4449" s="7">
        <v>45613</v>
      </c>
      <c r="B4449" t="s">
        <v>95</v>
      </c>
      <c r="C4449" t="s">
        <v>109</v>
      </c>
      <c r="D4449" s="8">
        <v>144.38</v>
      </c>
    </row>
    <row r="4450" spans="1:4" x14ac:dyDescent="0.45">
      <c r="A4450" s="7">
        <v>45660</v>
      </c>
      <c r="B4450" t="s">
        <v>97</v>
      </c>
      <c r="C4450" t="s">
        <v>98</v>
      </c>
      <c r="D4450" s="8">
        <v>82.09</v>
      </c>
    </row>
    <row r="4451" spans="1:4" x14ac:dyDescent="0.45">
      <c r="A4451" s="7">
        <v>45429</v>
      </c>
      <c r="B4451" t="s">
        <v>93</v>
      </c>
      <c r="C4451" t="s">
        <v>103</v>
      </c>
      <c r="D4451" s="8">
        <v>113.35</v>
      </c>
    </row>
    <row r="4452" spans="1:4" x14ac:dyDescent="0.45">
      <c r="A4452" s="7">
        <v>45316</v>
      </c>
      <c r="B4452" t="s">
        <v>93</v>
      </c>
      <c r="C4452" t="s">
        <v>100</v>
      </c>
      <c r="D4452" s="8">
        <v>139.09</v>
      </c>
    </row>
    <row r="4453" spans="1:4" x14ac:dyDescent="0.45">
      <c r="A4453" s="7">
        <v>46014</v>
      </c>
      <c r="B4453" t="s">
        <v>97</v>
      </c>
      <c r="C4453" t="s">
        <v>101</v>
      </c>
      <c r="D4453" s="8">
        <v>25.65</v>
      </c>
    </row>
    <row r="4454" spans="1:4" x14ac:dyDescent="0.45">
      <c r="A4454" s="7">
        <v>45844</v>
      </c>
      <c r="B4454" t="s">
        <v>97</v>
      </c>
      <c r="C4454" t="s">
        <v>107</v>
      </c>
      <c r="D4454" s="8">
        <v>394.59</v>
      </c>
    </row>
    <row r="4455" spans="1:4" x14ac:dyDescent="0.45">
      <c r="A4455" s="7">
        <v>45921</v>
      </c>
      <c r="B4455" t="s">
        <v>97</v>
      </c>
      <c r="C4455" t="s">
        <v>98</v>
      </c>
      <c r="D4455" s="8">
        <v>241.86</v>
      </c>
    </row>
    <row r="4456" spans="1:4" x14ac:dyDescent="0.45">
      <c r="A4456" s="7">
        <v>45300</v>
      </c>
      <c r="B4456" t="s">
        <v>95</v>
      </c>
      <c r="C4456" t="s">
        <v>99</v>
      </c>
      <c r="D4456" s="8">
        <v>293.24</v>
      </c>
    </row>
    <row r="4457" spans="1:4" x14ac:dyDescent="0.45">
      <c r="A4457" s="7">
        <v>46098</v>
      </c>
      <c r="B4457" t="s">
        <v>93</v>
      </c>
      <c r="C4457" t="s">
        <v>100</v>
      </c>
      <c r="D4457" s="8">
        <v>127.13</v>
      </c>
    </row>
    <row r="4458" spans="1:4" x14ac:dyDescent="0.45">
      <c r="A4458" s="7">
        <v>45344</v>
      </c>
      <c r="B4458" t="s">
        <v>95</v>
      </c>
      <c r="C4458" t="s">
        <v>96</v>
      </c>
      <c r="D4458" s="8">
        <v>415.66</v>
      </c>
    </row>
    <row r="4459" spans="1:4" x14ac:dyDescent="0.45">
      <c r="A4459" s="7">
        <v>45395</v>
      </c>
      <c r="B4459" t="s">
        <v>97</v>
      </c>
      <c r="C4459" t="s">
        <v>104</v>
      </c>
      <c r="D4459" s="8">
        <v>195.36</v>
      </c>
    </row>
    <row r="4460" spans="1:4" x14ac:dyDescent="0.45">
      <c r="A4460" s="7">
        <v>45687</v>
      </c>
      <c r="B4460" t="s">
        <v>97</v>
      </c>
      <c r="C4460" t="s">
        <v>107</v>
      </c>
      <c r="D4460" s="8">
        <v>-69.61</v>
      </c>
    </row>
    <row r="4461" spans="1:4" x14ac:dyDescent="0.45">
      <c r="A4461" s="7">
        <v>45386</v>
      </c>
      <c r="B4461" t="s">
        <v>93</v>
      </c>
      <c r="C4461" t="s">
        <v>100</v>
      </c>
      <c r="D4461" s="8">
        <v>110.32</v>
      </c>
    </row>
    <row r="4462" spans="1:4" x14ac:dyDescent="0.45">
      <c r="A4462" s="7">
        <v>45508</v>
      </c>
      <c r="B4462" t="s">
        <v>97</v>
      </c>
      <c r="C4462" t="s">
        <v>98</v>
      </c>
      <c r="D4462" s="8">
        <v>-24.51</v>
      </c>
    </row>
    <row r="4463" spans="1:4" x14ac:dyDescent="0.45">
      <c r="A4463" s="7">
        <v>45515</v>
      </c>
      <c r="B4463" t="s">
        <v>93</v>
      </c>
      <c r="C4463" t="s">
        <v>106</v>
      </c>
      <c r="D4463" s="8">
        <v>-32.81</v>
      </c>
    </row>
    <row r="4464" spans="1:4" x14ac:dyDescent="0.45">
      <c r="A4464" s="7">
        <v>45371</v>
      </c>
      <c r="B4464" t="s">
        <v>93</v>
      </c>
      <c r="C4464" t="s">
        <v>103</v>
      </c>
      <c r="D4464" s="8">
        <v>111.83</v>
      </c>
    </row>
    <row r="4465" spans="1:4" x14ac:dyDescent="0.45">
      <c r="A4465" s="7">
        <v>45432</v>
      </c>
      <c r="B4465" t="s">
        <v>93</v>
      </c>
      <c r="C4465" t="s">
        <v>100</v>
      </c>
      <c r="D4465" s="8">
        <v>80.95</v>
      </c>
    </row>
    <row r="4466" spans="1:4" x14ac:dyDescent="0.45">
      <c r="A4466" s="7">
        <v>45796</v>
      </c>
      <c r="B4466" t="s">
        <v>95</v>
      </c>
      <c r="C4466" t="s">
        <v>99</v>
      </c>
      <c r="D4466" s="8">
        <v>-39.159999999999997</v>
      </c>
    </row>
    <row r="4467" spans="1:4" x14ac:dyDescent="0.45">
      <c r="A4467" s="7">
        <v>45332</v>
      </c>
      <c r="B4467" t="s">
        <v>97</v>
      </c>
      <c r="C4467" t="s">
        <v>104</v>
      </c>
      <c r="D4467" s="8">
        <v>339.92</v>
      </c>
    </row>
    <row r="4468" spans="1:4" x14ac:dyDescent="0.45">
      <c r="A4468" s="7">
        <v>45502</v>
      </c>
      <c r="B4468" t="s">
        <v>97</v>
      </c>
      <c r="C4468" t="s">
        <v>104</v>
      </c>
      <c r="D4468" s="8">
        <v>406.86</v>
      </c>
    </row>
    <row r="4469" spans="1:4" x14ac:dyDescent="0.45">
      <c r="A4469" s="7">
        <v>45329</v>
      </c>
      <c r="B4469" t="s">
        <v>97</v>
      </c>
      <c r="C4469" t="s">
        <v>98</v>
      </c>
      <c r="D4469" s="8">
        <v>66.8</v>
      </c>
    </row>
    <row r="4470" spans="1:4" x14ac:dyDescent="0.45">
      <c r="A4470" s="7">
        <v>45459</v>
      </c>
      <c r="B4470" t="s">
        <v>97</v>
      </c>
      <c r="C4470" t="s">
        <v>104</v>
      </c>
      <c r="D4470" s="8">
        <v>470.42</v>
      </c>
    </row>
    <row r="4471" spans="1:4" x14ac:dyDescent="0.45">
      <c r="A4471" s="7">
        <v>45480</v>
      </c>
      <c r="B4471" t="s">
        <v>97</v>
      </c>
      <c r="C4471" t="s">
        <v>104</v>
      </c>
      <c r="D4471" s="8">
        <v>397.38</v>
      </c>
    </row>
    <row r="4472" spans="1:4" x14ac:dyDescent="0.45">
      <c r="A4472" s="7">
        <v>45731</v>
      </c>
      <c r="B4472" t="s">
        <v>93</v>
      </c>
      <c r="C4472" t="s">
        <v>94</v>
      </c>
      <c r="D4472" s="8">
        <v>-20.010000000000002</v>
      </c>
    </row>
    <row r="4473" spans="1:4" x14ac:dyDescent="0.45">
      <c r="A4473" s="7">
        <v>45539</v>
      </c>
      <c r="B4473" t="s">
        <v>95</v>
      </c>
      <c r="C4473" t="s">
        <v>109</v>
      </c>
      <c r="D4473" s="8">
        <v>460.58</v>
      </c>
    </row>
    <row r="4474" spans="1:4" x14ac:dyDescent="0.45">
      <c r="A4474" s="7">
        <v>46003</v>
      </c>
      <c r="B4474" t="s">
        <v>97</v>
      </c>
      <c r="C4474" t="s">
        <v>104</v>
      </c>
      <c r="D4474" s="8">
        <v>-40.5</v>
      </c>
    </row>
    <row r="4475" spans="1:4" x14ac:dyDescent="0.45">
      <c r="A4475" s="7">
        <v>45456</v>
      </c>
      <c r="B4475" t="s">
        <v>97</v>
      </c>
      <c r="C4475" t="s">
        <v>101</v>
      </c>
      <c r="D4475" s="8">
        <v>381.31</v>
      </c>
    </row>
    <row r="4476" spans="1:4" x14ac:dyDescent="0.45">
      <c r="A4476" s="7">
        <v>46010</v>
      </c>
      <c r="B4476" t="s">
        <v>93</v>
      </c>
      <c r="C4476" t="s">
        <v>94</v>
      </c>
      <c r="D4476" s="8">
        <v>51.7</v>
      </c>
    </row>
    <row r="4477" spans="1:4" x14ac:dyDescent="0.45">
      <c r="A4477" s="7">
        <v>45390</v>
      </c>
      <c r="B4477" t="s">
        <v>95</v>
      </c>
      <c r="C4477" t="s">
        <v>102</v>
      </c>
      <c r="D4477" s="8">
        <v>397.44</v>
      </c>
    </row>
    <row r="4478" spans="1:4" x14ac:dyDescent="0.45">
      <c r="A4478" s="7">
        <v>46024</v>
      </c>
      <c r="B4478" t="s">
        <v>93</v>
      </c>
      <c r="C4478" t="s">
        <v>106</v>
      </c>
      <c r="D4478" s="8">
        <v>217.81</v>
      </c>
    </row>
    <row r="4479" spans="1:4" x14ac:dyDescent="0.45">
      <c r="A4479" s="7">
        <v>46112</v>
      </c>
      <c r="B4479" t="s">
        <v>93</v>
      </c>
      <c r="C4479" t="s">
        <v>103</v>
      </c>
      <c r="D4479" s="8">
        <v>74.69</v>
      </c>
    </row>
    <row r="4480" spans="1:4" x14ac:dyDescent="0.45">
      <c r="A4480" s="7">
        <v>45413</v>
      </c>
      <c r="B4480" t="s">
        <v>97</v>
      </c>
      <c r="C4480" t="s">
        <v>107</v>
      </c>
      <c r="D4480" s="8">
        <v>33.31</v>
      </c>
    </row>
    <row r="4481" spans="1:4" x14ac:dyDescent="0.45">
      <c r="A4481" s="7">
        <v>45600</v>
      </c>
      <c r="B4481" t="s">
        <v>93</v>
      </c>
      <c r="C4481" t="s">
        <v>100</v>
      </c>
      <c r="D4481" s="8">
        <v>-41.18</v>
      </c>
    </row>
    <row r="4482" spans="1:4" x14ac:dyDescent="0.45">
      <c r="A4482" s="7">
        <v>45712</v>
      </c>
      <c r="B4482" t="s">
        <v>93</v>
      </c>
      <c r="C4482" t="s">
        <v>106</v>
      </c>
      <c r="D4482" s="8">
        <v>-14.22</v>
      </c>
    </row>
    <row r="4483" spans="1:4" x14ac:dyDescent="0.45">
      <c r="A4483" s="7">
        <v>45355</v>
      </c>
      <c r="B4483" t="s">
        <v>95</v>
      </c>
      <c r="C4483" t="s">
        <v>108</v>
      </c>
      <c r="D4483" s="8">
        <v>268.97000000000003</v>
      </c>
    </row>
    <row r="4484" spans="1:4" x14ac:dyDescent="0.45">
      <c r="A4484" s="7">
        <v>46093</v>
      </c>
      <c r="B4484" t="s">
        <v>95</v>
      </c>
      <c r="C4484" t="s">
        <v>109</v>
      </c>
      <c r="D4484" s="8">
        <v>345.19</v>
      </c>
    </row>
    <row r="4485" spans="1:4" x14ac:dyDescent="0.45">
      <c r="A4485" s="7">
        <v>45410</v>
      </c>
      <c r="B4485" t="s">
        <v>97</v>
      </c>
      <c r="C4485" t="s">
        <v>98</v>
      </c>
      <c r="D4485" s="8">
        <v>289.33</v>
      </c>
    </row>
    <row r="4486" spans="1:4" x14ac:dyDescent="0.45">
      <c r="A4486" s="7">
        <v>45885</v>
      </c>
      <c r="B4486" t="s">
        <v>93</v>
      </c>
      <c r="C4486" t="s">
        <v>100</v>
      </c>
      <c r="D4486" s="8">
        <v>-114.19</v>
      </c>
    </row>
    <row r="4487" spans="1:4" x14ac:dyDescent="0.45">
      <c r="A4487" s="7">
        <v>45529</v>
      </c>
      <c r="B4487" t="s">
        <v>95</v>
      </c>
      <c r="C4487" t="s">
        <v>109</v>
      </c>
      <c r="D4487" s="8">
        <v>295.75</v>
      </c>
    </row>
    <row r="4488" spans="1:4" x14ac:dyDescent="0.45">
      <c r="A4488" s="7">
        <v>45957</v>
      </c>
      <c r="B4488" t="s">
        <v>93</v>
      </c>
      <c r="C4488" t="s">
        <v>94</v>
      </c>
      <c r="D4488" s="8">
        <v>-129.69</v>
      </c>
    </row>
    <row r="4489" spans="1:4" x14ac:dyDescent="0.45">
      <c r="A4489" s="7">
        <v>45412</v>
      </c>
      <c r="B4489" t="s">
        <v>95</v>
      </c>
      <c r="C4489" t="s">
        <v>102</v>
      </c>
      <c r="D4489" s="8">
        <v>264.45999999999998</v>
      </c>
    </row>
    <row r="4490" spans="1:4" x14ac:dyDescent="0.45">
      <c r="A4490" s="7">
        <v>45999</v>
      </c>
      <c r="B4490" t="s">
        <v>93</v>
      </c>
      <c r="C4490" t="s">
        <v>106</v>
      </c>
      <c r="D4490" s="8">
        <v>344.67</v>
      </c>
    </row>
    <row r="4491" spans="1:4" x14ac:dyDescent="0.45">
      <c r="A4491" s="7">
        <v>45533</v>
      </c>
      <c r="B4491" t="s">
        <v>95</v>
      </c>
      <c r="C4491" t="s">
        <v>105</v>
      </c>
      <c r="D4491" s="8">
        <v>467.9</v>
      </c>
    </row>
    <row r="4492" spans="1:4" x14ac:dyDescent="0.45">
      <c r="A4492" s="7">
        <v>45985</v>
      </c>
      <c r="B4492" t="s">
        <v>95</v>
      </c>
      <c r="C4492" t="s">
        <v>105</v>
      </c>
      <c r="D4492" s="8">
        <v>166.72</v>
      </c>
    </row>
    <row r="4493" spans="1:4" x14ac:dyDescent="0.45">
      <c r="A4493" s="7">
        <v>45628</v>
      </c>
      <c r="B4493" t="s">
        <v>97</v>
      </c>
      <c r="C4493" t="s">
        <v>104</v>
      </c>
      <c r="D4493" s="8">
        <v>486.38</v>
      </c>
    </row>
    <row r="4494" spans="1:4" x14ac:dyDescent="0.45">
      <c r="A4494" s="7">
        <v>45558</v>
      </c>
      <c r="B4494" t="s">
        <v>97</v>
      </c>
      <c r="C4494" t="s">
        <v>104</v>
      </c>
      <c r="D4494" s="8">
        <v>392.2</v>
      </c>
    </row>
    <row r="4495" spans="1:4" x14ac:dyDescent="0.45">
      <c r="A4495" s="7">
        <v>45376</v>
      </c>
      <c r="B4495" t="s">
        <v>93</v>
      </c>
      <c r="C4495" t="s">
        <v>106</v>
      </c>
      <c r="D4495" s="8">
        <v>448.03</v>
      </c>
    </row>
    <row r="4496" spans="1:4" x14ac:dyDescent="0.45">
      <c r="A4496" s="7">
        <v>45739</v>
      </c>
      <c r="B4496" t="s">
        <v>93</v>
      </c>
      <c r="C4496" t="s">
        <v>100</v>
      </c>
      <c r="D4496" s="8">
        <v>44.81</v>
      </c>
    </row>
    <row r="4497" spans="1:4" x14ac:dyDescent="0.45">
      <c r="A4497" s="7">
        <v>45708</v>
      </c>
      <c r="B4497" t="s">
        <v>95</v>
      </c>
      <c r="C4497" t="s">
        <v>109</v>
      </c>
      <c r="D4497" s="8">
        <v>-80.22</v>
      </c>
    </row>
    <row r="4498" spans="1:4" x14ac:dyDescent="0.45">
      <c r="A4498" s="7">
        <v>46019</v>
      </c>
      <c r="B4498" t="s">
        <v>97</v>
      </c>
      <c r="C4498" t="s">
        <v>104</v>
      </c>
      <c r="D4498" s="8">
        <v>-93.38</v>
      </c>
    </row>
    <row r="4499" spans="1:4" x14ac:dyDescent="0.45">
      <c r="A4499" s="7">
        <v>45754</v>
      </c>
      <c r="B4499" t="s">
        <v>93</v>
      </c>
      <c r="C4499" t="s">
        <v>94</v>
      </c>
      <c r="D4499" s="8">
        <v>200.25</v>
      </c>
    </row>
    <row r="4500" spans="1:4" x14ac:dyDescent="0.45">
      <c r="A4500" s="7">
        <v>46051</v>
      </c>
      <c r="B4500" t="s">
        <v>95</v>
      </c>
      <c r="C4500" t="s">
        <v>109</v>
      </c>
      <c r="D4500" s="8">
        <v>8.4600000000000009</v>
      </c>
    </row>
    <row r="4501" spans="1:4" x14ac:dyDescent="0.45">
      <c r="A4501" s="7">
        <v>45709</v>
      </c>
      <c r="B4501" t="s">
        <v>93</v>
      </c>
      <c r="C4501" t="s">
        <v>94</v>
      </c>
      <c r="D4501" s="8">
        <v>-86.4</v>
      </c>
    </row>
    <row r="4502" spans="1:4" x14ac:dyDescent="0.45">
      <c r="A4502" s="7">
        <v>45710</v>
      </c>
      <c r="B4502" t="s">
        <v>95</v>
      </c>
      <c r="C4502" t="s">
        <v>109</v>
      </c>
      <c r="D4502" s="8">
        <v>254</v>
      </c>
    </row>
    <row r="4503" spans="1:4" x14ac:dyDescent="0.45">
      <c r="A4503" s="7">
        <v>45361</v>
      </c>
      <c r="B4503" t="s">
        <v>95</v>
      </c>
      <c r="C4503" t="s">
        <v>96</v>
      </c>
      <c r="D4503" s="8">
        <v>131.93</v>
      </c>
    </row>
    <row r="4504" spans="1:4" x14ac:dyDescent="0.45">
      <c r="A4504" s="7">
        <v>45520</v>
      </c>
      <c r="B4504" t="s">
        <v>97</v>
      </c>
      <c r="C4504" t="s">
        <v>101</v>
      </c>
      <c r="D4504" s="8">
        <v>331.35</v>
      </c>
    </row>
    <row r="4505" spans="1:4" x14ac:dyDescent="0.45">
      <c r="A4505" s="7">
        <v>45441</v>
      </c>
      <c r="B4505" t="s">
        <v>97</v>
      </c>
      <c r="C4505" t="s">
        <v>107</v>
      </c>
      <c r="D4505" s="8">
        <v>52.41</v>
      </c>
    </row>
    <row r="4506" spans="1:4" x14ac:dyDescent="0.45">
      <c r="A4506" s="7">
        <v>45548</v>
      </c>
      <c r="B4506" t="s">
        <v>95</v>
      </c>
      <c r="C4506" t="s">
        <v>105</v>
      </c>
      <c r="D4506" s="8">
        <v>325.95999999999998</v>
      </c>
    </row>
    <row r="4507" spans="1:4" x14ac:dyDescent="0.45">
      <c r="A4507" s="7">
        <v>46142</v>
      </c>
      <c r="B4507" t="s">
        <v>95</v>
      </c>
      <c r="C4507" t="s">
        <v>109</v>
      </c>
      <c r="D4507" s="8">
        <v>363.41</v>
      </c>
    </row>
    <row r="4508" spans="1:4" x14ac:dyDescent="0.45">
      <c r="A4508" s="7">
        <v>45912</v>
      </c>
      <c r="B4508" t="s">
        <v>93</v>
      </c>
      <c r="C4508" t="s">
        <v>100</v>
      </c>
      <c r="D4508" s="8">
        <v>270.42</v>
      </c>
    </row>
    <row r="4509" spans="1:4" x14ac:dyDescent="0.45">
      <c r="A4509" s="7">
        <v>46080</v>
      </c>
      <c r="B4509" t="s">
        <v>95</v>
      </c>
      <c r="C4509" t="s">
        <v>99</v>
      </c>
      <c r="D4509" s="8">
        <v>406.54</v>
      </c>
    </row>
    <row r="4510" spans="1:4" x14ac:dyDescent="0.45">
      <c r="A4510" s="7">
        <v>45494</v>
      </c>
      <c r="B4510" t="s">
        <v>93</v>
      </c>
      <c r="C4510" t="s">
        <v>103</v>
      </c>
      <c r="D4510" s="8">
        <v>-38.6</v>
      </c>
    </row>
    <row r="4511" spans="1:4" x14ac:dyDescent="0.45">
      <c r="A4511" s="7">
        <v>45500</v>
      </c>
      <c r="B4511" t="s">
        <v>97</v>
      </c>
      <c r="C4511" t="s">
        <v>101</v>
      </c>
      <c r="D4511" s="8">
        <v>450.98</v>
      </c>
    </row>
    <row r="4512" spans="1:4" x14ac:dyDescent="0.45">
      <c r="A4512" s="7">
        <v>45509</v>
      </c>
      <c r="B4512" t="s">
        <v>97</v>
      </c>
      <c r="C4512" t="s">
        <v>101</v>
      </c>
      <c r="D4512" s="8">
        <v>101.32</v>
      </c>
    </row>
    <row r="4513" spans="1:4" x14ac:dyDescent="0.45">
      <c r="A4513" s="7">
        <v>45307</v>
      </c>
      <c r="B4513" t="s">
        <v>93</v>
      </c>
      <c r="C4513" t="s">
        <v>100</v>
      </c>
      <c r="D4513" s="8">
        <v>41.68</v>
      </c>
    </row>
    <row r="4514" spans="1:4" x14ac:dyDescent="0.45">
      <c r="A4514" s="7">
        <v>45442</v>
      </c>
      <c r="B4514" t="s">
        <v>97</v>
      </c>
      <c r="C4514" t="s">
        <v>107</v>
      </c>
      <c r="D4514" s="8">
        <v>161.11000000000001</v>
      </c>
    </row>
    <row r="4515" spans="1:4" x14ac:dyDescent="0.45">
      <c r="A4515" s="7">
        <v>45923</v>
      </c>
      <c r="B4515" t="s">
        <v>93</v>
      </c>
      <c r="C4515" t="s">
        <v>103</v>
      </c>
      <c r="D4515" s="8">
        <v>-17.2</v>
      </c>
    </row>
    <row r="4516" spans="1:4" x14ac:dyDescent="0.45">
      <c r="A4516" s="7">
        <v>45720</v>
      </c>
      <c r="B4516" t="s">
        <v>95</v>
      </c>
      <c r="C4516" t="s">
        <v>105</v>
      </c>
      <c r="D4516" s="8">
        <v>-66.819999999999993</v>
      </c>
    </row>
    <row r="4517" spans="1:4" x14ac:dyDescent="0.45">
      <c r="A4517" s="7">
        <v>46124</v>
      </c>
      <c r="B4517" t="s">
        <v>97</v>
      </c>
      <c r="C4517" t="s">
        <v>98</v>
      </c>
      <c r="D4517" s="8">
        <v>373.54</v>
      </c>
    </row>
    <row r="4518" spans="1:4" x14ac:dyDescent="0.45">
      <c r="A4518" s="7">
        <v>45419</v>
      </c>
      <c r="B4518" t="s">
        <v>95</v>
      </c>
      <c r="C4518" t="s">
        <v>99</v>
      </c>
      <c r="D4518" s="8">
        <v>329.14</v>
      </c>
    </row>
    <row r="4519" spans="1:4" x14ac:dyDescent="0.45">
      <c r="A4519" s="7">
        <v>45632</v>
      </c>
      <c r="B4519" t="s">
        <v>95</v>
      </c>
      <c r="C4519" t="s">
        <v>96</v>
      </c>
      <c r="D4519" s="8">
        <v>129.88</v>
      </c>
    </row>
    <row r="4520" spans="1:4" x14ac:dyDescent="0.45">
      <c r="A4520" s="7">
        <v>45742</v>
      </c>
      <c r="B4520" t="s">
        <v>95</v>
      </c>
      <c r="C4520" t="s">
        <v>99</v>
      </c>
      <c r="D4520" s="8">
        <v>138.51</v>
      </c>
    </row>
    <row r="4521" spans="1:4" x14ac:dyDescent="0.45">
      <c r="A4521" s="7">
        <v>45617</v>
      </c>
      <c r="B4521" t="s">
        <v>93</v>
      </c>
      <c r="C4521" t="s">
        <v>106</v>
      </c>
      <c r="D4521" s="8">
        <v>397</v>
      </c>
    </row>
    <row r="4522" spans="1:4" x14ac:dyDescent="0.45">
      <c r="A4522" s="7">
        <v>45568</v>
      </c>
      <c r="B4522" t="s">
        <v>97</v>
      </c>
      <c r="C4522" t="s">
        <v>98</v>
      </c>
      <c r="D4522" s="8">
        <v>-10.38</v>
      </c>
    </row>
    <row r="4523" spans="1:4" x14ac:dyDescent="0.45">
      <c r="A4523" s="7">
        <v>46069</v>
      </c>
      <c r="B4523" t="s">
        <v>93</v>
      </c>
      <c r="C4523" t="s">
        <v>100</v>
      </c>
      <c r="D4523" s="8">
        <v>249.21</v>
      </c>
    </row>
    <row r="4524" spans="1:4" x14ac:dyDescent="0.45">
      <c r="A4524" s="7">
        <v>45831</v>
      </c>
      <c r="B4524" t="s">
        <v>93</v>
      </c>
      <c r="C4524" t="s">
        <v>94</v>
      </c>
      <c r="D4524" s="8">
        <v>408.46</v>
      </c>
    </row>
    <row r="4525" spans="1:4" x14ac:dyDescent="0.45">
      <c r="A4525" s="7">
        <v>45944</v>
      </c>
      <c r="B4525" t="s">
        <v>97</v>
      </c>
      <c r="C4525" t="s">
        <v>98</v>
      </c>
      <c r="D4525" s="8">
        <v>337.53</v>
      </c>
    </row>
    <row r="4526" spans="1:4" x14ac:dyDescent="0.45">
      <c r="A4526" s="7">
        <v>45566</v>
      </c>
      <c r="B4526" t="s">
        <v>95</v>
      </c>
      <c r="C4526" t="s">
        <v>108</v>
      </c>
      <c r="D4526" s="8">
        <v>437.91</v>
      </c>
    </row>
    <row r="4527" spans="1:4" x14ac:dyDescent="0.45">
      <c r="A4527" s="7">
        <v>45302</v>
      </c>
      <c r="B4527" t="s">
        <v>97</v>
      </c>
      <c r="C4527" t="s">
        <v>101</v>
      </c>
      <c r="D4527" s="8">
        <v>386.22</v>
      </c>
    </row>
    <row r="4528" spans="1:4" x14ac:dyDescent="0.45">
      <c r="A4528" s="7">
        <v>45566</v>
      </c>
      <c r="B4528" t="s">
        <v>97</v>
      </c>
      <c r="C4528" t="s">
        <v>104</v>
      </c>
      <c r="D4528" s="8">
        <v>58.33</v>
      </c>
    </row>
    <row r="4529" spans="1:4" x14ac:dyDescent="0.45">
      <c r="A4529" s="7">
        <v>45608</v>
      </c>
      <c r="B4529" t="s">
        <v>93</v>
      </c>
      <c r="C4529" t="s">
        <v>100</v>
      </c>
      <c r="D4529" s="8">
        <v>113.66</v>
      </c>
    </row>
    <row r="4530" spans="1:4" x14ac:dyDescent="0.45">
      <c r="A4530" s="7">
        <v>45765</v>
      </c>
      <c r="B4530" t="s">
        <v>97</v>
      </c>
      <c r="C4530" t="s">
        <v>101</v>
      </c>
      <c r="D4530" s="8">
        <v>-147.27000000000001</v>
      </c>
    </row>
    <row r="4531" spans="1:4" x14ac:dyDescent="0.45">
      <c r="A4531" s="7">
        <v>45444</v>
      </c>
      <c r="B4531" t="s">
        <v>93</v>
      </c>
      <c r="C4531" t="s">
        <v>103</v>
      </c>
      <c r="D4531" s="8">
        <v>251.07</v>
      </c>
    </row>
    <row r="4532" spans="1:4" x14ac:dyDescent="0.45">
      <c r="A4532" s="7">
        <v>45470</v>
      </c>
      <c r="B4532" t="s">
        <v>97</v>
      </c>
      <c r="C4532" t="s">
        <v>101</v>
      </c>
      <c r="D4532" s="8">
        <v>410.34</v>
      </c>
    </row>
    <row r="4533" spans="1:4" x14ac:dyDescent="0.45">
      <c r="A4533" s="7">
        <v>45603</v>
      </c>
      <c r="B4533" t="s">
        <v>93</v>
      </c>
      <c r="C4533" t="s">
        <v>94</v>
      </c>
      <c r="D4533" s="8">
        <v>134.80000000000001</v>
      </c>
    </row>
    <row r="4534" spans="1:4" x14ac:dyDescent="0.45">
      <c r="A4534" s="7">
        <v>45978</v>
      </c>
      <c r="B4534" t="s">
        <v>97</v>
      </c>
      <c r="C4534" t="s">
        <v>107</v>
      </c>
      <c r="D4534" s="8">
        <v>-0.77</v>
      </c>
    </row>
    <row r="4535" spans="1:4" x14ac:dyDescent="0.45">
      <c r="A4535" s="7">
        <v>45643</v>
      </c>
      <c r="B4535" t="s">
        <v>97</v>
      </c>
      <c r="C4535" t="s">
        <v>104</v>
      </c>
      <c r="D4535" s="8">
        <v>-9.94</v>
      </c>
    </row>
    <row r="4536" spans="1:4" x14ac:dyDescent="0.45">
      <c r="A4536" s="7">
        <v>45997</v>
      </c>
      <c r="B4536" t="s">
        <v>97</v>
      </c>
      <c r="C4536" t="s">
        <v>101</v>
      </c>
      <c r="D4536" s="8">
        <v>430.08</v>
      </c>
    </row>
    <row r="4537" spans="1:4" x14ac:dyDescent="0.45">
      <c r="A4537" s="7">
        <v>45483</v>
      </c>
      <c r="B4537" t="s">
        <v>97</v>
      </c>
      <c r="C4537" t="s">
        <v>104</v>
      </c>
      <c r="D4537" s="8">
        <v>381.05</v>
      </c>
    </row>
    <row r="4538" spans="1:4" x14ac:dyDescent="0.45">
      <c r="A4538" s="7">
        <v>45741</v>
      </c>
      <c r="B4538" t="s">
        <v>95</v>
      </c>
      <c r="C4538" t="s">
        <v>105</v>
      </c>
      <c r="D4538" s="8">
        <v>-64.64</v>
      </c>
    </row>
    <row r="4539" spans="1:4" x14ac:dyDescent="0.45">
      <c r="A4539" s="7">
        <v>45637</v>
      </c>
      <c r="B4539" t="s">
        <v>95</v>
      </c>
      <c r="C4539" t="s">
        <v>108</v>
      </c>
      <c r="D4539" s="8">
        <v>16.97</v>
      </c>
    </row>
    <row r="4540" spans="1:4" x14ac:dyDescent="0.45">
      <c r="A4540" s="7">
        <v>45351</v>
      </c>
      <c r="B4540" t="s">
        <v>97</v>
      </c>
      <c r="C4540" t="s">
        <v>101</v>
      </c>
      <c r="D4540" s="8">
        <v>208.83</v>
      </c>
    </row>
    <row r="4541" spans="1:4" x14ac:dyDescent="0.45">
      <c r="A4541" s="7">
        <v>45720</v>
      </c>
      <c r="B4541" t="s">
        <v>95</v>
      </c>
      <c r="C4541" t="s">
        <v>109</v>
      </c>
      <c r="D4541" s="8">
        <v>489.16</v>
      </c>
    </row>
    <row r="4542" spans="1:4" x14ac:dyDescent="0.45">
      <c r="A4542" s="7">
        <v>45525</v>
      </c>
      <c r="B4542" t="s">
        <v>95</v>
      </c>
      <c r="C4542" t="s">
        <v>108</v>
      </c>
      <c r="D4542" s="8">
        <v>-99.41</v>
      </c>
    </row>
    <row r="4543" spans="1:4" x14ac:dyDescent="0.45">
      <c r="A4543" s="7">
        <v>46013</v>
      </c>
      <c r="B4543" t="s">
        <v>95</v>
      </c>
      <c r="C4543" t="s">
        <v>105</v>
      </c>
      <c r="D4543" s="8">
        <v>492.27</v>
      </c>
    </row>
    <row r="4544" spans="1:4" x14ac:dyDescent="0.45">
      <c r="A4544" s="7">
        <v>46086</v>
      </c>
      <c r="B4544" t="s">
        <v>93</v>
      </c>
      <c r="C4544" t="s">
        <v>103</v>
      </c>
      <c r="D4544" s="8">
        <v>172.78</v>
      </c>
    </row>
    <row r="4545" spans="1:4" x14ac:dyDescent="0.45">
      <c r="A4545" s="7">
        <v>46014</v>
      </c>
      <c r="B4545" t="s">
        <v>93</v>
      </c>
      <c r="C4545" t="s">
        <v>94</v>
      </c>
      <c r="D4545" s="8">
        <v>76.349999999999994</v>
      </c>
    </row>
    <row r="4546" spans="1:4" x14ac:dyDescent="0.45">
      <c r="A4546" s="7">
        <v>45896</v>
      </c>
      <c r="B4546" t="s">
        <v>95</v>
      </c>
      <c r="C4546" t="s">
        <v>96</v>
      </c>
      <c r="D4546" s="8">
        <v>-103.37</v>
      </c>
    </row>
    <row r="4547" spans="1:4" x14ac:dyDescent="0.45">
      <c r="A4547" s="7">
        <v>46024</v>
      </c>
      <c r="B4547" t="s">
        <v>97</v>
      </c>
      <c r="C4547" t="s">
        <v>104</v>
      </c>
      <c r="D4547" s="8">
        <v>225.33</v>
      </c>
    </row>
    <row r="4548" spans="1:4" x14ac:dyDescent="0.45">
      <c r="A4548" s="7">
        <v>46107</v>
      </c>
      <c r="B4548" t="s">
        <v>97</v>
      </c>
      <c r="C4548" t="s">
        <v>101</v>
      </c>
      <c r="D4548" s="8">
        <v>-95.28</v>
      </c>
    </row>
    <row r="4549" spans="1:4" x14ac:dyDescent="0.45">
      <c r="A4549" s="7">
        <v>45309</v>
      </c>
      <c r="B4549" t="s">
        <v>95</v>
      </c>
      <c r="C4549" t="s">
        <v>108</v>
      </c>
      <c r="D4549" s="8">
        <v>264.88</v>
      </c>
    </row>
    <row r="4550" spans="1:4" x14ac:dyDescent="0.45">
      <c r="A4550" s="7">
        <v>45740</v>
      </c>
      <c r="B4550" t="s">
        <v>97</v>
      </c>
      <c r="C4550" t="s">
        <v>101</v>
      </c>
      <c r="D4550" s="8">
        <v>-128.38</v>
      </c>
    </row>
    <row r="4551" spans="1:4" x14ac:dyDescent="0.45">
      <c r="A4551" s="7">
        <v>45435</v>
      </c>
      <c r="B4551" t="s">
        <v>95</v>
      </c>
      <c r="C4551" t="s">
        <v>109</v>
      </c>
      <c r="D4551" s="8">
        <v>87.04</v>
      </c>
    </row>
    <row r="4552" spans="1:4" x14ac:dyDescent="0.45">
      <c r="A4552" s="7">
        <v>46039</v>
      </c>
      <c r="B4552" t="s">
        <v>97</v>
      </c>
      <c r="C4552" t="s">
        <v>98</v>
      </c>
      <c r="D4552" s="8">
        <v>119.67</v>
      </c>
    </row>
    <row r="4553" spans="1:4" x14ac:dyDescent="0.45">
      <c r="A4553" s="7">
        <v>45994</v>
      </c>
      <c r="B4553" t="s">
        <v>97</v>
      </c>
      <c r="C4553" t="s">
        <v>104</v>
      </c>
      <c r="D4553" s="8">
        <v>220.82</v>
      </c>
    </row>
    <row r="4554" spans="1:4" x14ac:dyDescent="0.45">
      <c r="A4554" s="7">
        <v>46028</v>
      </c>
      <c r="B4554" t="s">
        <v>97</v>
      </c>
      <c r="C4554" t="s">
        <v>107</v>
      </c>
      <c r="D4554" s="8">
        <v>442.36</v>
      </c>
    </row>
    <row r="4555" spans="1:4" x14ac:dyDescent="0.45">
      <c r="A4555" s="7">
        <v>45618</v>
      </c>
      <c r="B4555" t="s">
        <v>95</v>
      </c>
      <c r="C4555" t="s">
        <v>108</v>
      </c>
      <c r="D4555" s="8">
        <v>-48.94</v>
      </c>
    </row>
    <row r="4556" spans="1:4" x14ac:dyDescent="0.45">
      <c r="A4556" s="7">
        <v>45543</v>
      </c>
      <c r="B4556" t="s">
        <v>93</v>
      </c>
      <c r="C4556" t="s">
        <v>106</v>
      </c>
      <c r="D4556" s="8">
        <v>337.73</v>
      </c>
    </row>
    <row r="4557" spans="1:4" x14ac:dyDescent="0.45">
      <c r="A4557" s="7">
        <v>45472</v>
      </c>
      <c r="B4557" t="s">
        <v>97</v>
      </c>
      <c r="C4557" t="s">
        <v>104</v>
      </c>
      <c r="D4557" s="8">
        <v>276.20999999999998</v>
      </c>
    </row>
    <row r="4558" spans="1:4" x14ac:dyDescent="0.45">
      <c r="A4558" s="7">
        <v>45882</v>
      </c>
      <c r="B4558" t="s">
        <v>95</v>
      </c>
      <c r="C4558" t="s">
        <v>109</v>
      </c>
      <c r="D4558" s="8">
        <v>290.52999999999997</v>
      </c>
    </row>
    <row r="4559" spans="1:4" x14ac:dyDescent="0.45">
      <c r="A4559" s="7">
        <v>45573</v>
      </c>
      <c r="B4559" t="s">
        <v>93</v>
      </c>
      <c r="C4559" t="s">
        <v>94</v>
      </c>
      <c r="D4559" s="8">
        <v>167.65</v>
      </c>
    </row>
    <row r="4560" spans="1:4" x14ac:dyDescent="0.45">
      <c r="A4560" s="7">
        <v>45933</v>
      </c>
      <c r="B4560" t="s">
        <v>95</v>
      </c>
      <c r="C4560" t="s">
        <v>99</v>
      </c>
      <c r="D4560" s="8">
        <v>132.22999999999999</v>
      </c>
    </row>
    <row r="4561" spans="1:4" x14ac:dyDescent="0.45">
      <c r="A4561" s="7">
        <v>46098</v>
      </c>
      <c r="B4561" t="s">
        <v>95</v>
      </c>
      <c r="C4561" t="s">
        <v>109</v>
      </c>
      <c r="D4561" s="8">
        <v>313.47000000000003</v>
      </c>
    </row>
    <row r="4562" spans="1:4" x14ac:dyDescent="0.45">
      <c r="A4562" s="7">
        <v>45528</v>
      </c>
      <c r="B4562" t="s">
        <v>97</v>
      </c>
      <c r="C4562" t="s">
        <v>107</v>
      </c>
      <c r="D4562" s="8">
        <v>450.74</v>
      </c>
    </row>
    <row r="4563" spans="1:4" x14ac:dyDescent="0.45">
      <c r="A4563" s="7">
        <v>45469</v>
      </c>
      <c r="B4563" t="s">
        <v>97</v>
      </c>
      <c r="C4563" t="s">
        <v>101</v>
      </c>
      <c r="D4563" s="8">
        <v>499.54</v>
      </c>
    </row>
    <row r="4564" spans="1:4" x14ac:dyDescent="0.45">
      <c r="A4564" s="7">
        <v>45526</v>
      </c>
      <c r="B4564" t="s">
        <v>97</v>
      </c>
      <c r="C4564" t="s">
        <v>98</v>
      </c>
      <c r="D4564" s="8">
        <v>359.59</v>
      </c>
    </row>
    <row r="4565" spans="1:4" x14ac:dyDescent="0.45">
      <c r="A4565" s="7">
        <v>45878</v>
      </c>
      <c r="B4565" t="s">
        <v>93</v>
      </c>
      <c r="C4565" t="s">
        <v>103</v>
      </c>
      <c r="D4565" s="8">
        <v>351.54</v>
      </c>
    </row>
    <row r="4566" spans="1:4" x14ac:dyDescent="0.45">
      <c r="A4566" s="7">
        <v>45489</v>
      </c>
      <c r="B4566" t="s">
        <v>95</v>
      </c>
      <c r="C4566" t="s">
        <v>105</v>
      </c>
      <c r="D4566" s="8">
        <v>318.19</v>
      </c>
    </row>
    <row r="4567" spans="1:4" x14ac:dyDescent="0.45">
      <c r="A4567" s="7">
        <v>45989</v>
      </c>
      <c r="B4567" t="s">
        <v>97</v>
      </c>
      <c r="C4567" t="s">
        <v>104</v>
      </c>
      <c r="D4567" s="8">
        <v>82.71</v>
      </c>
    </row>
    <row r="4568" spans="1:4" x14ac:dyDescent="0.45">
      <c r="A4568" s="7">
        <v>46000</v>
      </c>
      <c r="B4568" t="s">
        <v>97</v>
      </c>
      <c r="C4568" t="s">
        <v>104</v>
      </c>
      <c r="D4568" s="8">
        <v>274.56</v>
      </c>
    </row>
    <row r="4569" spans="1:4" x14ac:dyDescent="0.45">
      <c r="A4569" s="7">
        <v>45722</v>
      </c>
      <c r="B4569" t="s">
        <v>93</v>
      </c>
      <c r="C4569" t="s">
        <v>103</v>
      </c>
      <c r="D4569" s="8">
        <v>61.82</v>
      </c>
    </row>
    <row r="4570" spans="1:4" x14ac:dyDescent="0.45">
      <c r="A4570" s="7">
        <v>45348</v>
      </c>
      <c r="B4570" t="s">
        <v>97</v>
      </c>
      <c r="C4570" t="s">
        <v>101</v>
      </c>
      <c r="D4570" s="8">
        <v>36.68</v>
      </c>
    </row>
    <row r="4571" spans="1:4" x14ac:dyDescent="0.45">
      <c r="A4571" s="7">
        <v>45738</v>
      </c>
      <c r="B4571" t="s">
        <v>93</v>
      </c>
      <c r="C4571" t="s">
        <v>103</v>
      </c>
      <c r="D4571" s="8">
        <v>-110.64</v>
      </c>
    </row>
    <row r="4572" spans="1:4" x14ac:dyDescent="0.45">
      <c r="A4572" s="7">
        <v>46168</v>
      </c>
      <c r="B4572" t="s">
        <v>93</v>
      </c>
      <c r="C4572" t="s">
        <v>94</v>
      </c>
      <c r="D4572" s="8">
        <v>264.91000000000003</v>
      </c>
    </row>
    <row r="4573" spans="1:4" x14ac:dyDescent="0.45">
      <c r="A4573" s="7">
        <v>45395</v>
      </c>
      <c r="B4573" t="s">
        <v>97</v>
      </c>
      <c r="C4573" t="s">
        <v>101</v>
      </c>
      <c r="D4573" s="8">
        <v>11.83</v>
      </c>
    </row>
    <row r="4574" spans="1:4" x14ac:dyDescent="0.45">
      <c r="A4574" s="7">
        <v>45820</v>
      </c>
      <c r="B4574" t="s">
        <v>97</v>
      </c>
      <c r="C4574" t="s">
        <v>107</v>
      </c>
      <c r="D4574" s="8">
        <v>-127.03</v>
      </c>
    </row>
    <row r="4575" spans="1:4" x14ac:dyDescent="0.45">
      <c r="A4575" s="7">
        <v>45960</v>
      </c>
      <c r="B4575" t="s">
        <v>93</v>
      </c>
      <c r="C4575" t="s">
        <v>103</v>
      </c>
      <c r="D4575" s="8">
        <v>185.89</v>
      </c>
    </row>
    <row r="4576" spans="1:4" x14ac:dyDescent="0.45">
      <c r="A4576" s="7">
        <v>45830</v>
      </c>
      <c r="B4576" t="s">
        <v>93</v>
      </c>
      <c r="C4576" t="s">
        <v>106</v>
      </c>
      <c r="D4576" s="8">
        <v>-18.350000000000001</v>
      </c>
    </row>
    <row r="4577" spans="1:4" x14ac:dyDescent="0.45">
      <c r="A4577" s="7">
        <v>45805</v>
      </c>
      <c r="B4577" t="s">
        <v>93</v>
      </c>
      <c r="C4577" t="s">
        <v>94</v>
      </c>
      <c r="D4577" s="8">
        <v>77.58</v>
      </c>
    </row>
    <row r="4578" spans="1:4" x14ac:dyDescent="0.45">
      <c r="A4578" s="7">
        <v>45639</v>
      </c>
      <c r="B4578" t="s">
        <v>95</v>
      </c>
      <c r="C4578" t="s">
        <v>109</v>
      </c>
      <c r="D4578" s="8">
        <v>496.78</v>
      </c>
    </row>
    <row r="4579" spans="1:4" x14ac:dyDescent="0.45">
      <c r="A4579" s="7">
        <v>45558</v>
      </c>
      <c r="B4579" t="s">
        <v>97</v>
      </c>
      <c r="C4579" t="s">
        <v>98</v>
      </c>
      <c r="D4579" s="8">
        <v>-6.9</v>
      </c>
    </row>
    <row r="4580" spans="1:4" x14ac:dyDescent="0.45">
      <c r="A4580" s="7">
        <v>45480</v>
      </c>
      <c r="B4580" t="s">
        <v>95</v>
      </c>
      <c r="C4580" t="s">
        <v>102</v>
      </c>
      <c r="D4580" s="8">
        <v>356.31</v>
      </c>
    </row>
    <row r="4581" spans="1:4" x14ac:dyDescent="0.45">
      <c r="A4581" s="7">
        <v>46029</v>
      </c>
      <c r="B4581" t="s">
        <v>97</v>
      </c>
      <c r="C4581" t="s">
        <v>104</v>
      </c>
      <c r="D4581" s="8">
        <v>-39.5</v>
      </c>
    </row>
    <row r="4582" spans="1:4" x14ac:dyDescent="0.45">
      <c r="A4582" s="7">
        <v>45467</v>
      </c>
      <c r="B4582" t="s">
        <v>93</v>
      </c>
      <c r="C4582" t="s">
        <v>106</v>
      </c>
      <c r="D4582" s="8">
        <v>140.6</v>
      </c>
    </row>
    <row r="4583" spans="1:4" x14ac:dyDescent="0.45">
      <c r="A4583" s="7">
        <v>45899</v>
      </c>
      <c r="B4583" t="s">
        <v>97</v>
      </c>
      <c r="C4583" t="s">
        <v>107</v>
      </c>
      <c r="D4583" s="8">
        <v>67.73</v>
      </c>
    </row>
    <row r="4584" spans="1:4" x14ac:dyDescent="0.45">
      <c r="A4584" s="7">
        <v>46015</v>
      </c>
      <c r="B4584" t="s">
        <v>95</v>
      </c>
      <c r="C4584" t="s">
        <v>109</v>
      </c>
      <c r="D4584" s="8">
        <v>-25.43</v>
      </c>
    </row>
    <row r="4585" spans="1:4" x14ac:dyDescent="0.45">
      <c r="A4585" s="7">
        <v>45366</v>
      </c>
      <c r="B4585" t="s">
        <v>97</v>
      </c>
      <c r="C4585" t="s">
        <v>98</v>
      </c>
      <c r="D4585" s="8">
        <v>288.02</v>
      </c>
    </row>
    <row r="4586" spans="1:4" x14ac:dyDescent="0.45">
      <c r="A4586" s="7">
        <v>45384</v>
      </c>
      <c r="B4586" t="s">
        <v>93</v>
      </c>
      <c r="C4586" t="s">
        <v>103</v>
      </c>
      <c r="D4586" s="8">
        <v>-106.65</v>
      </c>
    </row>
    <row r="4587" spans="1:4" x14ac:dyDescent="0.45">
      <c r="A4587" s="7">
        <v>45853</v>
      </c>
      <c r="B4587" t="s">
        <v>97</v>
      </c>
      <c r="C4587" t="s">
        <v>104</v>
      </c>
      <c r="D4587" s="8">
        <v>330.45</v>
      </c>
    </row>
    <row r="4588" spans="1:4" x14ac:dyDescent="0.45">
      <c r="A4588" s="7">
        <v>45990</v>
      </c>
      <c r="B4588" t="s">
        <v>95</v>
      </c>
      <c r="C4588" t="s">
        <v>108</v>
      </c>
      <c r="D4588" s="8">
        <v>455.18</v>
      </c>
    </row>
    <row r="4589" spans="1:4" x14ac:dyDescent="0.45">
      <c r="A4589" s="7">
        <v>45847</v>
      </c>
      <c r="B4589" t="s">
        <v>93</v>
      </c>
      <c r="C4589" t="s">
        <v>103</v>
      </c>
      <c r="D4589" s="8">
        <v>429.26</v>
      </c>
    </row>
    <row r="4590" spans="1:4" x14ac:dyDescent="0.45">
      <c r="A4590" s="7">
        <v>45715</v>
      </c>
      <c r="B4590" t="s">
        <v>95</v>
      </c>
      <c r="C4590" t="s">
        <v>105</v>
      </c>
      <c r="D4590" s="8">
        <v>402.74</v>
      </c>
    </row>
    <row r="4591" spans="1:4" x14ac:dyDescent="0.45">
      <c r="A4591" s="7">
        <v>45873</v>
      </c>
      <c r="B4591" t="s">
        <v>95</v>
      </c>
      <c r="C4591" t="s">
        <v>102</v>
      </c>
      <c r="D4591" s="8">
        <v>408.68</v>
      </c>
    </row>
    <row r="4592" spans="1:4" x14ac:dyDescent="0.45">
      <c r="A4592" s="7">
        <v>46103</v>
      </c>
      <c r="B4592" t="s">
        <v>93</v>
      </c>
      <c r="C4592" t="s">
        <v>106</v>
      </c>
      <c r="D4592" s="8">
        <v>395.71</v>
      </c>
    </row>
    <row r="4593" spans="1:4" x14ac:dyDescent="0.45">
      <c r="A4593" s="7">
        <v>45646</v>
      </c>
      <c r="B4593" t="s">
        <v>93</v>
      </c>
      <c r="C4593" t="s">
        <v>103</v>
      </c>
      <c r="D4593" s="8">
        <v>329.44</v>
      </c>
    </row>
    <row r="4594" spans="1:4" x14ac:dyDescent="0.45">
      <c r="A4594" s="7">
        <v>45745</v>
      </c>
      <c r="B4594" t="s">
        <v>97</v>
      </c>
      <c r="C4594" t="s">
        <v>104</v>
      </c>
      <c r="D4594" s="8">
        <v>204.93</v>
      </c>
    </row>
    <row r="4595" spans="1:4" x14ac:dyDescent="0.45">
      <c r="A4595" s="7">
        <v>45556</v>
      </c>
      <c r="B4595" t="s">
        <v>93</v>
      </c>
      <c r="C4595" t="s">
        <v>100</v>
      </c>
      <c r="D4595" s="8">
        <v>-94.67</v>
      </c>
    </row>
    <row r="4596" spans="1:4" x14ac:dyDescent="0.45">
      <c r="A4596" s="7">
        <v>45711</v>
      </c>
      <c r="B4596" t="s">
        <v>93</v>
      </c>
      <c r="C4596" t="s">
        <v>106</v>
      </c>
      <c r="D4596" s="8">
        <v>270.61</v>
      </c>
    </row>
    <row r="4597" spans="1:4" x14ac:dyDescent="0.45">
      <c r="A4597" s="7">
        <v>46064</v>
      </c>
      <c r="B4597" t="s">
        <v>97</v>
      </c>
      <c r="C4597" t="s">
        <v>98</v>
      </c>
      <c r="D4597" s="8">
        <v>269.29000000000002</v>
      </c>
    </row>
    <row r="4598" spans="1:4" x14ac:dyDescent="0.45">
      <c r="A4598" s="7">
        <v>45802</v>
      </c>
      <c r="B4598" t="s">
        <v>93</v>
      </c>
      <c r="C4598" t="s">
        <v>94</v>
      </c>
      <c r="D4598" s="8">
        <v>271.64</v>
      </c>
    </row>
    <row r="4599" spans="1:4" x14ac:dyDescent="0.45">
      <c r="A4599" s="7">
        <v>45679</v>
      </c>
      <c r="B4599" t="s">
        <v>93</v>
      </c>
      <c r="C4599" t="s">
        <v>100</v>
      </c>
      <c r="D4599" s="8">
        <v>110.6</v>
      </c>
    </row>
    <row r="4600" spans="1:4" x14ac:dyDescent="0.45">
      <c r="A4600" s="7">
        <v>46063</v>
      </c>
      <c r="B4600" t="s">
        <v>93</v>
      </c>
      <c r="C4600" t="s">
        <v>94</v>
      </c>
      <c r="D4600" s="8">
        <v>18.62</v>
      </c>
    </row>
    <row r="4601" spans="1:4" x14ac:dyDescent="0.45">
      <c r="A4601" s="7">
        <v>46065</v>
      </c>
      <c r="B4601" t="s">
        <v>95</v>
      </c>
      <c r="C4601" t="s">
        <v>99</v>
      </c>
      <c r="D4601" s="8">
        <v>417.18</v>
      </c>
    </row>
    <row r="4602" spans="1:4" x14ac:dyDescent="0.45">
      <c r="A4602" s="7">
        <v>45784</v>
      </c>
      <c r="B4602" t="s">
        <v>97</v>
      </c>
      <c r="C4602" t="s">
        <v>101</v>
      </c>
      <c r="D4602" s="8">
        <v>363.96</v>
      </c>
    </row>
    <row r="4603" spans="1:4" x14ac:dyDescent="0.45">
      <c r="A4603" s="7">
        <v>45700</v>
      </c>
      <c r="B4603" t="s">
        <v>95</v>
      </c>
      <c r="C4603" t="s">
        <v>108</v>
      </c>
      <c r="D4603" s="8">
        <v>-24.03</v>
      </c>
    </row>
    <row r="4604" spans="1:4" x14ac:dyDescent="0.45">
      <c r="A4604" s="7">
        <v>45311</v>
      </c>
      <c r="B4604" t="s">
        <v>95</v>
      </c>
      <c r="C4604" t="s">
        <v>99</v>
      </c>
      <c r="D4604" s="8">
        <v>350.61</v>
      </c>
    </row>
    <row r="4605" spans="1:4" x14ac:dyDescent="0.45">
      <c r="A4605" s="7">
        <v>46073</v>
      </c>
      <c r="B4605" t="s">
        <v>93</v>
      </c>
      <c r="C4605" t="s">
        <v>106</v>
      </c>
      <c r="D4605" s="8">
        <v>78.45</v>
      </c>
    </row>
    <row r="4606" spans="1:4" x14ac:dyDescent="0.45">
      <c r="A4606" s="7">
        <v>45997</v>
      </c>
      <c r="B4606" t="s">
        <v>97</v>
      </c>
      <c r="C4606" t="s">
        <v>104</v>
      </c>
      <c r="D4606" s="8">
        <v>-23.19</v>
      </c>
    </row>
    <row r="4607" spans="1:4" x14ac:dyDescent="0.45">
      <c r="A4607" s="7">
        <v>46045</v>
      </c>
      <c r="B4607" t="s">
        <v>93</v>
      </c>
      <c r="C4607" t="s">
        <v>106</v>
      </c>
      <c r="D4607" s="8">
        <v>470.4</v>
      </c>
    </row>
    <row r="4608" spans="1:4" x14ac:dyDescent="0.45">
      <c r="A4608" s="7">
        <v>45596</v>
      </c>
      <c r="B4608" t="s">
        <v>97</v>
      </c>
      <c r="C4608" t="s">
        <v>104</v>
      </c>
      <c r="D4608" s="8">
        <v>101.35</v>
      </c>
    </row>
    <row r="4609" spans="1:4" x14ac:dyDescent="0.45">
      <c r="A4609" s="7">
        <v>46191</v>
      </c>
      <c r="B4609" t="s">
        <v>95</v>
      </c>
      <c r="C4609" t="s">
        <v>99</v>
      </c>
      <c r="D4609" s="8">
        <v>-63.68</v>
      </c>
    </row>
    <row r="4610" spans="1:4" x14ac:dyDescent="0.45">
      <c r="A4610" s="7">
        <v>45503</v>
      </c>
      <c r="B4610" t="s">
        <v>97</v>
      </c>
      <c r="C4610" t="s">
        <v>98</v>
      </c>
      <c r="D4610" s="8">
        <v>323.39</v>
      </c>
    </row>
    <row r="4611" spans="1:4" x14ac:dyDescent="0.45">
      <c r="A4611" s="7">
        <v>45692</v>
      </c>
      <c r="B4611" t="s">
        <v>97</v>
      </c>
      <c r="C4611" t="s">
        <v>98</v>
      </c>
      <c r="D4611" s="8">
        <v>412.77</v>
      </c>
    </row>
    <row r="4612" spans="1:4" x14ac:dyDescent="0.45">
      <c r="A4612" s="7">
        <v>45472</v>
      </c>
      <c r="B4612" t="s">
        <v>93</v>
      </c>
      <c r="C4612" t="s">
        <v>94</v>
      </c>
      <c r="D4612" s="8">
        <v>460.14</v>
      </c>
    </row>
    <row r="4613" spans="1:4" x14ac:dyDescent="0.45">
      <c r="A4613" s="7">
        <v>45339</v>
      </c>
      <c r="B4613" t="s">
        <v>97</v>
      </c>
      <c r="C4613" t="s">
        <v>107</v>
      </c>
      <c r="D4613" s="8">
        <v>219.51</v>
      </c>
    </row>
    <row r="4614" spans="1:4" x14ac:dyDescent="0.45">
      <c r="A4614" s="7">
        <v>45741</v>
      </c>
      <c r="B4614" t="s">
        <v>93</v>
      </c>
      <c r="C4614" t="s">
        <v>100</v>
      </c>
      <c r="D4614" s="8">
        <v>236.69</v>
      </c>
    </row>
    <row r="4615" spans="1:4" x14ac:dyDescent="0.45">
      <c r="A4615" s="7">
        <v>45411</v>
      </c>
      <c r="B4615" t="s">
        <v>95</v>
      </c>
      <c r="C4615" t="s">
        <v>108</v>
      </c>
      <c r="D4615" s="8">
        <v>-129.21</v>
      </c>
    </row>
    <row r="4616" spans="1:4" x14ac:dyDescent="0.45">
      <c r="A4616" s="7">
        <v>45723</v>
      </c>
      <c r="B4616" t="s">
        <v>95</v>
      </c>
      <c r="C4616" t="s">
        <v>102</v>
      </c>
      <c r="D4616" s="8">
        <v>496.17</v>
      </c>
    </row>
    <row r="4617" spans="1:4" x14ac:dyDescent="0.45">
      <c r="A4617" s="7">
        <v>46050</v>
      </c>
      <c r="B4617" t="s">
        <v>93</v>
      </c>
      <c r="C4617" t="s">
        <v>100</v>
      </c>
      <c r="D4617" s="8">
        <v>-131.34</v>
      </c>
    </row>
    <row r="4618" spans="1:4" x14ac:dyDescent="0.45">
      <c r="A4618" s="7">
        <v>45400</v>
      </c>
      <c r="B4618" t="s">
        <v>97</v>
      </c>
      <c r="C4618" t="s">
        <v>107</v>
      </c>
      <c r="D4618" s="8">
        <v>485.86</v>
      </c>
    </row>
    <row r="4619" spans="1:4" x14ac:dyDescent="0.45">
      <c r="A4619" s="7">
        <v>45324</v>
      </c>
      <c r="B4619" t="s">
        <v>93</v>
      </c>
      <c r="C4619" t="s">
        <v>103</v>
      </c>
      <c r="D4619" s="8">
        <v>48.82</v>
      </c>
    </row>
    <row r="4620" spans="1:4" x14ac:dyDescent="0.45">
      <c r="A4620" s="7">
        <v>45907</v>
      </c>
      <c r="B4620" t="s">
        <v>95</v>
      </c>
      <c r="C4620" t="s">
        <v>109</v>
      </c>
      <c r="D4620" s="8">
        <v>6.64</v>
      </c>
    </row>
    <row r="4621" spans="1:4" x14ac:dyDescent="0.45">
      <c r="A4621" s="7">
        <v>46139</v>
      </c>
      <c r="B4621" t="s">
        <v>97</v>
      </c>
      <c r="C4621" t="s">
        <v>107</v>
      </c>
      <c r="D4621" s="8">
        <v>327.73</v>
      </c>
    </row>
    <row r="4622" spans="1:4" x14ac:dyDescent="0.45">
      <c r="A4622" s="7">
        <v>45891</v>
      </c>
      <c r="B4622" t="s">
        <v>93</v>
      </c>
      <c r="C4622" t="s">
        <v>94</v>
      </c>
      <c r="D4622" s="8">
        <v>345.41</v>
      </c>
    </row>
    <row r="4623" spans="1:4" x14ac:dyDescent="0.45">
      <c r="A4623" s="7">
        <v>45549</v>
      </c>
      <c r="B4623" t="s">
        <v>95</v>
      </c>
      <c r="C4623" t="s">
        <v>105</v>
      </c>
      <c r="D4623" s="8">
        <v>-49.17</v>
      </c>
    </row>
    <row r="4624" spans="1:4" x14ac:dyDescent="0.45">
      <c r="A4624" s="7">
        <v>45456</v>
      </c>
      <c r="B4624" t="s">
        <v>95</v>
      </c>
      <c r="C4624" t="s">
        <v>109</v>
      </c>
      <c r="D4624" s="8">
        <v>470.18</v>
      </c>
    </row>
    <row r="4625" spans="1:4" x14ac:dyDescent="0.45">
      <c r="A4625" s="7">
        <v>46026</v>
      </c>
      <c r="B4625" t="s">
        <v>95</v>
      </c>
      <c r="C4625" t="s">
        <v>105</v>
      </c>
      <c r="D4625" s="8">
        <v>243.85</v>
      </c>
    </row>
    <row r="4626" spans="1:4" x14ac:dyDescent="0.45">
      <c r="A4626" s="7">
        <v>46058</v>
      </c>
      <c r="B4626" t="s">
        <v>93</v>
      </c>
      <c r="C4626" t="s">
        <v>103</v>
      </c>
      <c r="D4626" s="8">
        <v>-100.54</v>
      </c>
    </row>
    <row r="4627" spans="1:4" x14ac:dyDescent="0.45">
      <c r="A4627" s="7">
        <v>46007</v>
      </c>
      <c r="B4627" t="s">
        <v>97</v>
      </c>
      <c r="C4627" t="s">
        <v>101</v>
      </c>
      <c r="D4627" s="8">
        <v>198.38</v>
      </c>
    </row>
    <row r="4628" spans="1:4" x14ac:dyDescent="0.45">
      <c r="A4628" s="7">
        <v>46038</v>
      </c>
      <c r="B4628" t="s">
        <v>97</v>
      </c>
      <c r="C4628" t="s">
        <v>104</v>
      </c>
      <c r="D4628" s="8">
        <v>402.75</v>
      </c>
    </row>
    <row r="4629" spans="1:4" x14ac:dyDescent="0.45">
      <c r="A4629" s="7">
        <v>45856</v>
      </c>
      <c r="B4629" t="s">
        <v>97</v>
      </c>
      <c r="C4629" t="s">
        <v>101</v>
      </c>
      <c r="D4629" s="8">
        <v>244.24</v>
      </c>
    </row>
    <row r="4630" spans="1:4" x14ac:dyDescent="0.45">
      <c r="A4630" s="7">
        <v>45563</v>
      </c>
      <c r="B4630" t="s">
        <v>97</v>
      </c>
      <c r="C4630" t="s">
        <v>107</v>
      </c>
      <c r="D4630" s="8">
        <v>100.5</v>
      </c>
    </row>
    <row r="4631" spans="1:4" x14ac:dyDescent="0.45">
      <c r="A4631" s="7">
        <v>45997</v>
      </c>
      <c r="B4631" t="s">
        <v>95</v>
      </c>
      <c r="C4631" t="s">
        <v>105</v>
      </c>
      <c r="D4631" s="8">
        <v>491.42</v>
      </c>
    </row>
    <row r="4632" spans="1:4" x14ac:dyDescent="0.45">
      <c r="A4632" s="7">
        <v>45626</v>
      </c>
      <c r="B4632" t="s">
        <v>97</v>
      </c>
      <c r="C4632" t="s">
        <v>98</v>
      </c>
      <c r="D4632" s="8">
        <v>222.28</v>
      </c>
    </row>
    <row r="4633" spans="1:4" x14ac:dyDescent="0.45">
      <c r="A4633" s="7">
        <v>45854</v>
      </c>
      <c r="B4633" t="s">
        <v>95</v>
      </c>
      <c r="C4633" t="s">
        <v>108</v>
      </c>
      <c r="D4633" s="8">
        <v>245.7</v>
      </c>
    </row>
    <row r="4634" spans="1:4" x14ac:dyDescent="0.45">
      <c r="A4634" s="7">
        <v>46190</v>
      </c>
      <c r="B4634" t="s">
        <v>95</v>
      </c>
      <c r="C4634" t="s">
        <v>105</v>
      </c>
      <c r="D4634" s="8">
        <v>325.42</v>
      </c>
    </row>
    <row r="4635" spans="1:4" x14ac:dyDescent="0.45">
      <c r="A4635" s="7">
        <v>45348</v>
      </c>
      <c r="B4635" t="s">
        <v>97</v>
      </c>
      <c r="C4635" t="s">
        <v>98</v>
      </c>
      <c r="D4635" s="8">
        <v>245.55</v>
      </c>
    </row>
    <row r="4636" spans="1:4" x14ac:dyDescent="0.45">
      <c r="A4636" s="7">
        <v>45823</v>
      </c>
      <c r="B4636" t="s">
        <v>97</v>
      </c>
      <c r="C4636" t="s">
        <v>98</v>
      </c>
      <c r="D4636" s="8">
        <v>4.6100000000000003</v>
      </c>
    </row>
    <row r="4637" spans="1:4" x14ac:dyDescent="0.45">
      <c r="A4637" s="7">
        <v>46052</v>
      </c>
      <c r="B4637" t="s">
        <v>97</v>
      </c>
      <c r="C4637" t="s">
        <v>101</v>
      </c>
      <c r="D4637" s="8">
        <v>97.8</v>
      </c>
    </row>
    <row r="4638" spans="1:4" x14ac:dyDescent="0.45">
      <c r="A4638" s="7">
        <v>45722</v>
      </c>
      <c r="B4638" t="s">
        <v>95</v>
      </c>
      <c r="C4638" t="s">
        <v>108</v>
      </c>
      <c r="D4638" s="8">
        <v>75.83</v>
      </c>
    </row>
    <row r="4639" spans="1:4" x14ac:dyDescent="0.45">
      <c r="A4639" s="7">
        <v>46166</v>
      </c>
      <c r="B4639" t="s">
        <v>97</v>
      </c>
      <c r="C4639" t="s">
        <v>98</v>
      </c>
      <c r="D4639" s="8">
        <v>263.94</v>
      </c>
    </row>
    <row r="4640" spans="1:4" x14ac:dyDescent="0.45">
      <c r="A4640" s="7">
        <v>45615</v>
      </c>
      <c r="B4640" t="s">
        <v>97</v>
      </c>
      <c r="C4640" t="s">
        <v>107</v>
      </c>
      <c r="D4640" s="8">
        <v>50.33</v>
      </c>
    </row>
    <row r="4641" spans="1:4" x14ac:dyDescent="0.45">
      <c r="A4641" s="7">
        <v>45843</v>
      </c>
      <c r="B4641" t="s">
        <v>97</v>
      </c>
      <c r="C4641" t="s">
        <v>104</v>
      </c>
      <c r="D4641" s="8">
        <v>29.99</v>
      </c>
    </row>
    <row r="4642" spans="1:4" x14ac:dyDescent="0.45">
      <c r="A4642" s="7">
        <v>45300</v>
      </c>
      <c r="B4642" t="s">
        <v>93</v>
      </c>
      <c r="C4642" t="s">
        <v>100</v>
      </c>
      <c r="D4642" s="8">
        <v>219.92</v>
      </c>
    </row>
    <row r="4643" spans="1:4" x14ac:dyDescent="0.45">
      <c r="A4643" s="7">
        <v>46145</v>
      </c>
      <c r="B4643" t="s">
        <v>93</v>
      </c>
      <c r="C4643" t="s">
        <v>106</v>
      </c>
      <c r="D4643" s="8">
        <v>196.22</v>
      </c>
    </row>
    <row r="4644" spans="1:4" x14ac:dyDescent="0.45">
      <c r="A4644" s="7">
        <v>45868</v>
      </c>
      <c r="B4644" t="s">
        <v>95</v>
      </c>
      <c r="C4644" t="s">
        <v>108</v>
      </c>
      <c r="D4644" s="8">
        <v>421.71</v>
      </c>
    </row>
    <row r="4645" spans="1:4" x14ac:dyDescent="0.45">
      <c r="A4645" s="7">
        <v>45887</v>
      </c>
      <c r="B4645" t="s">
        <v>95</v>
      </c>
      <c r="C4645" t="s">
        <v>102</v>
      </c>
      <c r="D4645" s="8">
        <v>241.53</v>
      </c>
    </row>
    <row r="4646" spans="1:4" x14ac:dyDescent="0.45">
      <c r="A4646" s="7">
        <v>45534</v>
      </c>
      <c r="B4646" t="s">
        <v>93</v>
      </c>
      <c r="C4646" t="s">
        <v>94</v>
      </c>
      <c r="D4646" s="8">
        <v>168.73</v>
      </c>
    </row>
    <row r="4647" spans="1:4" x14ac:dyDescent="0.45">
      <c r="A4647" s="7">
        <v>45943</v>
      </c>
      <c r="B4647" t="s">
        <v>97</v>
      </c>
      <c r="C4647" t="s">
        <v>98</v>
      </c>
      <c r="D4647" s="8">
        <v>313.44</v>
      </c>
    </row>
    <row r="4648" spans="1:4" x14ac:dyDescent="0.45">
      <c r="A4648" s="7">
        <v>46174</v>
      </c>
      <c r="B4648" t="s">
        <v>97</v>
      </c>
      <c r="C4648" t="s">
        <v>98</v>
      </c>
      <c r="D4648" s="8">
        <v>481.88</v>
      </c>
    </row>
    <row r="4649" spans="1:4" x14ac:dyDescent="0.45">
      <c r="A4649" s="7">
        <v>45852</v>
      </c>
      <c r="B4649" t="s">
        <v>97</v>
      </c>
      <c r="C4649" t="s">
        <v>107</v>
      </c>
      <c r="D4649" s="8">
        <v>405.7</v>
      </c>
    </row>
    <row r="4650" spans="1:4" x14ac:dyDescent="0.45">
      <c r="A4650" s="7">
        <v>45571</v>
      </c>
      <c r="B4650" t="s">
        <v>97</v>
      </c>
      <c r="C4650" t="s">
        <v>104</v>
      </c>
      <c r="D4650" s="8">
        <v>166.18</v>
      </c>
    </row>
    <row r="4651" spans="1:4" x14ac:dyDescent="0.45">
      <c r="A4651" s="7">
        <v>45670</v>
      </c>
      <c r="B4651" t="s">
        <v>97</v>
      </c>
      <c r="C4651" t="s">
        <v>101</v>
      </c>
      <c r="D4651" s="8">
        <v>60.56</v>
      </c>
    </row>
    <row r="4652" spans="1:4" x14ac:dyDescent="0.45">
      <c r="A4652" s="7">
        <v>45457</v>
      </c>
      <c r="B4652" t="s">
        <v>93</v>
      </c>
      <c r="C4652" t="s">
        <v>106</v>
      </c>
      <c r="D4652" s="8">
        <v>57.64</v>
      </c>
    </row>
    <row r="4653" spans="1:4" x14ac:dyDescent="0.45">
      <c r="A4653" s="7">
        <v>45499</v>
      </c>
      <c r="B4653" t="s">
        <v>93</v>
      </c>
      <c r="C4653" t="s">
        <v>103</v>
      </c>
      <c r="D4653" s="8">
        <v>0.48</v>
      </c>
    </row>
    <row r="4654" spans="1:4" x14ac:dyDescent="0.45">
      <c r="A4654" s="7">
        <v>45917</v>
      </c>
      <c r="B4654" t="s">
        <v>93</v>
      </c>
      <c r="C4654" t="s">
        <v>106</v>
      </c>
      <c r="D4654" s="8">
        <v>439.72</v>
      </c>
    </row>
    <row r="4655" spans="1:4" x14ac:dyDescent="0.45">
      <c r="A4655" s="7">
        <v>45877</v>
      </c>
      <c r="B4655" t="s">
        <v>97</v>
      </c>
      <c r="C4655" t="s">
        <v>107</v>
      </c>
      <c r="D4655" s="8">
        <v>357.75</v>
      </c>
    </row>
    <row r="4656" spans="1:4" x14ac:dyDescent="0.45">
      <c r="A4656" s="7">
        <v>45974</v>
      </c>
      <c r="B4656" t="s">
        <v>95</v>
      </c>
      <c r="C4656" t="s">
        <v>105</v>
      </c>
      <c r="D4656" s="8">
        <v>400.32</v>
      </c>
    </row>
    <row r="4657" spans="1:4" x14ac:dyDescent="0.45">
      <c r="A4657" s="7">
        <v>45664</v>
      </c>
      <c r="B4657" t="s">
        <v>95</v>
      </c>
      <c r="C4657" t="s">
        <v>96</v>
      </c>
      <c r="D4657" s="8">
        <v>32.64</v>
      </c>
    </row>
    <row r="4658" spans="1:4" x14ac:dyDescent="0.45">
      <c r="A4658" s="7">
        <v>45614</v>
      </c>
      <c r="B4658" t="s">
        <v>97</v>
      </c>
      <c r="C4658" t="s">
        <v>107</v>
      </c>
      <c r="D4658" s="8">
        <v>-72.34</v>
      </c>
    </row>
    <row r="4659" spans="1:4" x14ac:dyDescent="0.45">
      <c r="A4659" s="7">
        <v>46031</v>
      </c>
      <c r="B4659" t="s">
        <v>95</v>
      </c>
      <c r="C4659" t="s">
        <v>102</v>
      </c>
      <c r="D4659" s="8">
        <v>293.64999999999998</v>
      </c>
    </row>
    <row r="4660" spans="1:4" x14ac:dyDescent="0.45">
      <c r="A4660" s="7">
        <v>46041</v>
      </c>
      <c r="B4660" t="s">
        <v>95</v>
      </c>
      <c r="C4660" t="s">
        <v>96</v>
      </c>
      <c r="D4660" s="8">
        <v>283.48</v>
      </c>
    </row>
    <row r="4661" spans="1:4" x14ac:dyDescent="0.45">
      <c r="A4661" s="7">
        <v>45802</v>
      </c>
      <c r="B4661" t="s">
        <v>95</v>
      </c>
      <c r="C4661" t="s">
        <v>96</v>
      </c>
      <c r="D4661" s="8">
        <v>-30.79</v>
      </c>
    </row>
    <row r="4662" spans="1:4" x14ac:dyDescent="0.45">
      <c r="A4662" s="7">
        <v>45717</v>
      </c>
      <c r="B4662" t="s">
        <v>97</v>
      </c>
      <c r="C4662" t="s">
        <v>104</v>
      </c>
      <c r="D4662" s="8">
        <v>404.22</v>
      </c>
    </row>
    <row r="4663" spans="1:4" x14ac:dyDescent="0.45">
      <c r="A4663" s="7">
        <v>45821</v>
      </c>
      <c r="B4663" t="s">
        <v>93</v>
      </c>
      <c r="C4663" t="s">
        <v>106</v>
      </c>
      <c r="D4663" s="8">
        <v>68.66</v>
      </c>
    </row>
    <row r="4664" spans="1:4" x14ac:dyDescent="0.45">
      <c r="A4664" s="7">
        <v>45354</v>
      </c>
      <c r="B4664" t="s">
        <v>97</v>
      </c>
      <c r="C4664" t="s">
        <v>107</v>
      </c>
      <c r="D4664" s="8">
        <v>454.6</v>
      </c>
    </row>
    <row r="4665" spans="1:4" x14ac:dyDescent="0.45">
      <c r="A4665" s="7">
        <v>45516</v>
      </c>
      <c r="B4665" t="s">
        <v>93</v>
      </c>
      <c r="C4665" t="s">
        <v>94</v>
      </c>
      <c r="D4665" s="8">
        <v>182.74</v>
      </c>
    </row>
    <row r="4666" spans="1:4" x14ac:dyDescent="0.45">
      <c r="A4666" s="7">
        <v>45410</v>
      </c>
      <c r="B4666" t="s">
        <v>93</v>
      </c>
      <c r="C4666" t="s">
        <v>103</v>
      </c>
      <c r="D4666" s="8">
        <v>184.48</v>
      </c>
    </row>
    <row r="4667" spans="1:4" x14ac:dyDescent="0.45">
      <c r="A4667" s="7">
        <v>45672</v>
      </c>
      <c r="B4667" t="s">
        <v>95</v>
      </c>
      <c r="C4667" t="s">
        <v>99</v>
      </c>
      <c r="D4667" s="8">
        <v>37.799999999999997</v>
      </c>
    </row>
    <row r="4668" spans="1:4" x14ac:dyDescent="0.45">
      <c r="A4668" s="7">
        <v>45725</v>
      </c>
      <c r="B4668" t="s">
        <v>97</v>
      </c>
      <c r="C4668" t="s">
        <v>104</v>
      </c>
      <c r="D4668" s="8">
        <v>380.7</v>
      </c>
    </row>
    <row r="4669" spans="1:4" x14ac:dyDescent="0.45">
      <c r="A4669" s="7">
        <v>46118</v>
      </c>
      <c r="B4669" t="s">
        <v>95</v>
      </c>
      <c r="C4669" t="s">
        <v>108</v>
      </c>
      <c r="D4669" s="8">
        <v>151.08000000000001</v>
      </c>
    </row>
    <row r="4670" spans="1:4" x14ac:dyDescent="0.45">
      <c r="A4670" s="7">
        <v>45855</v>
      </c>
      <c r="B4670" t="s">
        <v>97</v>
      </c>
      <c r="C4670" t="s">
        <v>101</v>
      </c>
      <c r="D4670" s="8">
        <v>-39.29</v>
      </c>
    </row>
    <row r="4671" spans="1:4" x14ac:dyDescent="0.45">
      <c r="A4671" s="7">
        <v>45502</v>
      </c>
      <c r="B4671" t="s">
        <v>97</v>
      </c>
      <c r="C4671" t="s">
        <v>98</v>
      </c>
      <c r="D4671" s="8">
        <v>459.3</v>
      </c>
    </row>
    <row r="4672" spans="1:4" x14ac:dyDescent="0.45">
      <c r="A4672" s="7">
        <v>45708</v>
      </c>
      <c r="B4672" t="s">
        <v>95</v>
      </c>
      <c r="C4672" t="s">
        <v>109</v>
      </c>
      <c r="D4672" s="8">
        <v>77.61</v>
      </c>
    </row>
    <row r="4673" spans="1:4" x14ac:dyDescent="0.45">
      <c r="A4673" s="7">
        <v>45543</v>
      </c>
      <c r="B4673" t="s">
        <v>97</v>
      </c>
      <c r="C4673" t="s">
        <v>107</v>
      </c>
      <c r="D4673" s="8">
        <v>-113.76</v>
      </c>
    </row>
    <row r="4674" spans="1:4" x14ac:dyDescent="0.45">
      <c r="A4674" s="7">
        <v>45927</v>
      </c>
      <c r="B4674" t="s">
        <v>95</v>
      </c>
      <c r="C4674" t="s">
        <v>102</v>
      </c>
      <c r="D4674" s="8">
        <v>177.92</v>
      </c>
    </row>
    <row r="4675" spans="1:4" x14ac:dyDescent="0.45">
      <c r="A4675" s="7">
        <v>45466</v>
      </c>
      <c r="B4675" t="s">
        <v>93</v>
      </c>
      <c r="C4675" t="s">
        <v>103</v>
      </c>
      <c r="D4675" s="8">
        <v>-107.58</v>
      </c>
    </row>
    <row r="4676" spans="1:4" x14ac:dyDescent="0.45">
      <c r="A4676" s="7">
        <v>45881</v>
      </c>
      <c r="B4676" t="s">
        <v>93</v>
      </c>
      <c r="C4676" t="s">
        <v>103</v>
      </c>
      <c r="D4676" s="8">
        <v>278.11</v>
      </c>
    </row>
    <row r="4677" spans="1:4" x14ac:dyDescent="0.45">
      <c r="A4677" s="7">
        <v>45350</v>
      </c>
      <c r="B4677" t="s">
        <v>95</v>
      </c>
      <c r="C4677" t="s">
        <v>108</v>
      </c>
      <c r="D4677" s="8">
        <v>483.61</v>
      </c>
    </row>
    <row r="4678" spans="1:4" x14ac:dyDescent="0.45">
      <c r="A4678" s="7">
        <v>45834</v>
      </c>
      <c r="B4678" t="s">
        <v>95</v>
      </c>
      <c r="C4678" t="s">
        <v>99</v>
      </c>
      <c r="D4678" s="8">
        <v>470.59</v>
      </c>
    </row>
    <row r="4679" spans="1:4" x14ac:dyDescent="0.45">
      <c r="A4679" s="7">
        <v>45626</v>
      </c>
      <c r="B4679" t="s">
        <v>95</v>
      </c>
      <c r="C4679" t="s">
        <v>108</v>
      </c>
      <c r="D4679" s="8">
        <v>75.12</v>
      </c>
    </row>
    <row r="4680" spans="1:4" x14ac:dyDescent="0.45">
      <c r="A4680" s="7">
        <v>46043</v>
      </c>
      <c r="B4680" t="s">
        <v>95</v>
      </c>
      <c r="C4680" t="s">
        <v>105</v>
      </c>
      <c r="D4680" s="8">
        <v>474.94</v>
      </c>
    </row>
    <row r="4681" spans="1:4" x14ac:dyDescent="0.45">
      <c r="A4681" s="7">
        <v>45509</v>
      </c>
      <c r="B4681" t="s">
        <v>97</v>
      </c>
      <c r="C4681" t="s">
        <v>107</v>
      </c>
      <c r="D4681" s="8">
        <v>65.17</v>
      </c>
    </row>
    <row r="4682" spans="1:4" x14ac:dyDescent="0.45">
      <c r="A4682" s="7">
        <v>45585</v>
      </c>
      <c r="B4682" t="s">
        <v>97</v>
      </c>
      <c r="C4682" t="s">
        <v>104</v>
      </c>
      <c r="D4682" s="8">
        <v>23.37</v>
      </c>
    </row>
    <row r="4683" spans="1:4" x14ac:dyDescent="0.45">
      <c r="A4683" s="7">
        <v>45751</v>
      </c>
      <c r="B4683" t="s">
        <v>95</v>
      </c>
      <c r="C4683" t="s">
        <v>109</v>
      </c>
      <c r="D4683" s="8">
        <v>208.55</v>
      </c>
    </row>
    <row r="4684" spans="1:4" x14ac:dyDescent="0.45">
      <c r="A4684" s="7">
        <v>45752</v>
      </c>
      <c r="B4684" t="s">
        <v>97</v>
      </c>
      <c r="C4684" t="s">
        <v>107</v>
      </c>
      <c r="D4684" s="8">
        <v>456.71</v>
      </c>
    </row>
    <row r="4685" spans="1:4" x14ac:dyDescent="0.45">
      <c r="A4685" s="7">
        <v>45718</v>
      </c>
      <c r="B4685" t="s">
        <v>95</v>
      </c>
      <c r="C4685" t="s">
        <v>102</v>
      </c>
      <c r="D4685" s="8">
        <v>-97.65</v>
      </c>
    </row>
    <row r="4686" spans="1:4" x14ac:dyDescent="0.45">
      <c r="A4686" s="7">
        <v>46046</v>
      </c>
      <c r="B4686" t="s">
        <v>97</v>
      </c>
      <c r="C4686" t="s">
        <v>107</v>
      </c>
      <c r="D4686" s="8">
        <v>-32.92</v>
      </c>
    </row>
    <row r="4687" spans="1:4" x14ac:dyDescent="0.45">
      <c r="A4687" s="7">
        <v>45469</v>
      </c>
      <c r="B4687" t="s">
        <v>93</v>
      </c>
      <c r="C4687" t="s">
        <v>94</v>
      </c>
      <c r="D4687" s="8">
        <v>51.52</v>
      </c>
    </row>
    <row r="4688" spans="1:4" x14ac:dyDescent="0.45">
      <c r="A4688" s="7">
        <v>46027</v>
      </c>
      <c r="B4688" t="s">
        <v>93</v>
      </c>
      <c r="C4688" t="s">
        <v>94</v>
      </c>
      <c r="D4688" s="8">
        <v>-134.69</v>
      </c>
    </row>
    <row r="4689" spans="1:4" x14ac:dyDescent="0.45">
      <c r="A4689" s="7">
        <v>45885</v>
      </c>
      <c r="B4689" t="s">
        <v>93</v>
      </c>
      <c r="C4689" t="s">
        <v>103</v>
      </c>
      <c r="D4689" s="8">
        <v>-139.51</v>
      </c>
    </row>
    <row r="4690" spans="1:4" x14ac:dyDescent="0.45">
      <c r="A4690" s="7">
        <v>45450</v>
      </c>
      <c r="B4690" t="s">
        <v>95</v>
      </c>
      <c r="C4690" t="s">
        <v>108</v>
      </c>
      <c r="D4690" s="8">
        <v>225.96</v>
      </c>
    </row>
    <row r="4691" spans="1:4" x14ac:dyDescent="0.45">
      <c r="A4691" s="7">
        <v>45867</v>
      </c>
      <c r="B4691" t="s">
        <v>97</v>
      </c>
      <c r="C4691" t="s">
        <v>98</v>
      </c>
      <c r="D4691" s="8">
        <v>499.62</v>
      </c>
    </row>
    <row r="4692" spans="1:4" x14ac:dyDescent="0.45">
      <c r="A4692" s="7">
        <v>46006</v>
      </c>
      <c r="B4692" t="s">
        <v>93</v>
      </c>
      <c r="C4692" t="s">
        <v>106</v>
      </c>
      <c r="D4692" s="8">
        <v>107.49</v>
      </c>
    </row>
    <row r="4693" spans="1:4" x14ac:dyDescent="0.45">
      <c r="A4693" s="7">
        <v>46165</v>
      </c>
      <c r="B4693" t="s">
        <v>93</v>
      </c>
      <c r="C4693" t="s">
        <v>100</v>
      </c>
      <c r="D4693" s="8">
        <v>189.45</v>
      </c>
    </row>
    <row r="4694" spans="1:4" x14ac:dyDescent="0.45">
      <c r="A4694" s="7">
        <v>46177</v>
      </c>
      <c r="B4694" t="s">
        <v>95</v>
      </c>
      <c r="C4694" t="s">
        <v>96</v>
      </c>
      <c r="D4694" s="8">
        <v>301.95</v>
      </c>
    </row>
    <row r="4695" spans="1:4" x14ac:dyDescent="0.45">
      <c r="A4695" s="7">
        <v>45751</v>
      </c>
      <c r="B4695" t="s">
        <v>95</v>
      </c>
      <c r="C4695" t="s">
        <v>102</v>
      </c>
      <c r="D4695" s="8">
        <v>422.85</v>
      </c>
    </row>
    <row r="4696" spans="1:4" x14ac:dyDescent="0.45">
      <c r="A4696" s="7">
        <v>45621</v>
      </c>
      <c r="B4696" t="s">
        <v>95</v>
      </c>
      <c r="C4696" t="s">
        <v>99</v>
      </c>
      <c r="D4696" s="8">
        <v>307.11</v>
      </c>
    </row>
    <row r="4697" spans="1:4" x14ac:dyDescent="0.45">
      <c r="A4697" s="7">
        <v>45762</v>
      </c>
      <c r="B4697" t="s">
        <v>97</v>
      </c>
      <c r="C4697" t="s">
        <v>101</v>
      </c>
      <c r="D4697" s="8">
        <v>125.49</v>
      </c>
    </row>
    <row r="4698" spans="1:4" x14ac:dyDescent="0.45">
      <c r="A4698" s="7">
        <v>45850</v>
      </c>
      <c r="B4698" t="s">
        <v>97</v>
      </c>
      <c r="C4698" t="s">
        <v>107</v>
      </c>
      <c r="D4698" s="8">
        <v>140.46</v>
      </c>
    </row>
    <row r="4699" spans="1:4" x14ac:dyDescent="0.45">
      <c r="A4699" s="7">
        <v>45896</v>
      </c>
      <c r="B4699" t="s">
        <v>97</v>
      </c>
      <c r="C4699" t="s">
        <v>101</v>
      </c>
      <c r="D4699" s="8">
        <v>-24.52</v>
      </c>
    </row>
    <row r="4700" spans="1:4" x14ac:dyDescent="0.45">
      <c r="A4700" s="7">
        <v>45538</v>
      </c>
      <c r="B4700" t="s">
        <v>97</v>
      </c>
      <c r="C4700" t="s">
        <v>101</v>
      </c>
      <c r="D4700" s="8">
        <v>-32.72</v>
      </c>
    </row>
    <row r="4701" spans="1:4" x14ac:dyDescent="0.45">
      <c r="A4701" s="7">
        <v>45662</v>
      </c>
      <c r="B4701" t="s">
        <v>97</v>
      </c>
      <c r="C4701" t="s">
        <v>98</v>
      </c>
      <c r="D4701" s="8">
        <v>18.5</v>
      </c>
    </row>
    <row r="4702" spans="1:4" x14ac:dyDescent="0.45">
      <c r="A4702" s="7">
        <v>45803</v>
      </c>
      <c r="B4702" t="s">
        <v>97</v>
      </c>
      <c r="C4702" t="s">
        <v>107</v>
      </c>
      <c r="D4702" s="8">
        <v>-148.30000000000001</v>
      </c>
    </row>
    <row r="4703" spans="1:4" x14ac:dyDescent="0.45">
      <c r="A4703" s="7">
        <v>45499</v>
      </c>
      <c r="B4703" t="s">
        <v>95</v>
      </c>
      <c r="C4703" t="s">
        <v>96</v>
      </c>
      <c r="D4703" s="8">
        <v>91.01</v>
      </c>
    </row>
    <row r="4704" spans="1:4" x14ac:dyDescent="0.45">
      <c r="A4704" s="7">
        <v>46168</v>
      </c>
      <c r="B4704" t="s">
        <v>95</v>
      </c>
      <c r="C4704" t="s">
        <v>96</v>
      </c>
      <c r="D4704" s="8">
        <v>94.22</v>
      </c>
    </row>
    <row r="4705" spans="1:4" x14ac:dyDescent="0.45">
      <c r="A4705" s="7">
        <v>45594</v>
      </c>
      <c r="B4705" t="s">
        <v>95</v>
      </c>
      <c r="C4705" t="s">
        <v>96</v>
      </c>
      <c r="D4705" s="8">
        <v>309.33999999999997</v>
      </c>
    </row>
    <row r="4706" spans="1:4" x14ac:dyDescent="0.45">
      <c r="A4706" s="7">
        <v>45514</v>
      </c>
      <c r="B4706" t="s">
        <v>97</v>
      </c>
      <c r="C4706" t="s">
        <v>98</v>
      </c>
      <c r="D4706" s="8">
        <v>-140.35</v>
      </c>
    </row>
    <row r="4707" spans="1:4" x14ac:dyDescent="0.45">
      <c r="A4707" s="7">
        <v>45329</v>
      </c>
      <c r="B4707" t="s">
        <v>97</v>
      </c>
      <c r="C4707" t="s">
        <v>107</v>
      </c>
      <c r="D4707" s="8">
        <v>497.26</v>
      </c>
    </row>
    <row r="4708" spans="1:4" x14ac:dyDescent="0.45">
      <c r="A4708" s="7">
        <v>45592</v>
      </c>
      <c r="B4708" t="s">
        <v>97</v>
      </c>
      <c r="C4708" t="s">
        <v>101</v>
      </c>
      <c r="D4708" s="8">
        <v>-92.16</v>
      </c>
    </row>
    <row r="4709" spans="1:4" x14ac:dyDescent="0.45">
      <c r="A4709" s="7">
        <v>45784</v>
      </c>
      <c r="B4709" t="s">
        <v>93</v>
      </c>
      <c r="C4709" t="s">
        <v>106</v>
      </c>
      <c r="D4709" s="8">
        <v>-77.87</v>
      </c>
    </row>
    <row r="4710" spans="1:4" x14ac:dyDescent="0.45">
      <c r="A4710" s="7">
        <v>45563</v>
      </c>
      <c r="B4710" t="s">
        <v>93</v>
      </c>
      <c r="C4710" t="s">
        <v>94</v>
      </c>
      <c r="D4710" s="8">
        <v>-28.53</v>
      </c>
    </row>
    <row r="4711" spans="1:4" x14ac:dyDescent="0.45">
      <c r="A4711" s="7">
        <v>46177</v>
      </c>
      <c r="B4711" t="s">
        <v>93</v>
      </c>
      <c r="C4711" t="s">
        <v>103</v>
      </c>
      <c r="D4711" s="8">
        <v>65.650000000000006</v>
      </c>
    </row>
    <row r="4712" spans="1:4" x14ac:dyDescent="0.45">
      <c r="A4712" s="7">
        <v>45335</v>
      </c>
      <c r="B4712" t="s">
        <v>95</v>
      </c>
      <c r="C4712" t="s">
        <v>105</v>
      </c>
      <c r="D4712" s="8">
        <v>121.71</v>
      </c>
    </row>
    <row r="4713" spans="1:4" x14ac:dyDescent="0.45">
      <c r="A4713" s="7">
        <v>45938</v>
      </c>
      <c r="B4713" t="s">
        <v>93</v>
      </c>
      <c r="C4713" t="s">
        <v>94</v>
      </c>
      <c r="D4713" s="8">
        <v>74.34</v>
      </c>
    </row>
    <row r="4714" spans="1:4" x14ac:dyDescent="0.45">
      <c r="A4714" s="7">
        <v>45812</v>
      </c>
      <c r="B4714" t="s">
        <v>95</v>
      </c>
      <c r="C4714" t="s">
        <v>108</v>
      </c>
      <c r="D4714" s="8">
        <v>209.29</v>
      </c>
    </row>
    <row r="4715" spans="1:4" x14ac:dyDescent="0.45">
      <c r="A4715" s="7">
        <v>46159</v>
      </c>
      <c r="B4715" t="s">
        <v>95</v>
      </c>
      <c r="C4715" t="s">
        <v>108</v>
      </c>
      <c r="D4715" s="8">
        <v>303.38</v>
      </c>
    </row>
    <row r="4716" spans="1:4" x14ac:dyDescent="0.45">
      <c r="A4716" s="7">
        <v>45366</v>
      </c>
      <c r="B4716" t="s">
        <v>95</v>
      </c>
      <c r="C4716" t="s">
        <v>105</v>
      </c>
      <c r="D4716" s="8">
        <v>31.11</v>
      </c>
    </row>
    <row r="4717" spans="1:4" x14ac:dyDescent="0.45">
      <c r="A4717" s="7">
        <v>45728</v>
      </c>
      <c r="B4717" t="s">
        <v>95</v>
      </c>
      <c r="C4717" t="s">
        <v>108</v>
      </c>
      <c r="D4717" s="8">
        <v>279.52</v>
      </c>
    </row>
    <row r="4718" spans="1:4" x14ac:dyDescent="0.45">
      <c r="A4718" s="7">
        <v>45563</v>
      </c>
      <c r="B4718" t="s">
        <v>97</v>
      </c>
      <c r="C4718" t="s">
        <v>107</v>
      </c>
      <c r="D4718" s="8">
        <v>142.05000000000001</v>
      </c>
    </row>
    <row r="4719" spans="1:4" x14ac:dyDescent="0.45">
      <c r="A4719" s="7">
        <v>45388</v>
      </c>
      <c r="B4719" t="s">
        <v>95</v>
      </c>
      <c r="C4719" t="s">
        <v>102</v>
      </c>
      <c r="D4719" s="8">
        <v>371.29</v>
      </c>
    </row>
    <row r="4720" spans="1:4" x14ac:dyDescent="0.45">
      <c r="A4720" s="7">
        <v>46054</v>
      </c>
      <c r="B4720" t="s">
        <v>95</v>
      </c>
      <c r="C4720" t="s">
        <v>105</v>
      </c>
      <c r="D4720" s="8">
        <v>374.68</v>
      </c>
    </row>
    <row r="4721" spans="1:4" x14ac:dyDescent="0.45">
      <c r="A4721" s="7">
        <v>45400</v>
      </c>
      <c r="B4721" t="s">
        <v>93</v>
      </c>
      <c r="C4721" t="s">
        <v>106</v>
      </c>
      <c r="D4721" s="8">
        <v>-23.69</v>
      </c>
    </row>
    <row r="4722" spans="1:4" x14ac:dyDescent="0.45">
      <c r="A4722" s="7">
        <v>45843</v>
      </c>
      <c r="B4722" t="s">
        <v>97</v>
      </c>
      <c r="C4722" t="s">
        <v>107</v>
      </c>
      <c r="D4722" s="8">
        <v>33.68</v>
      </c>
    </row>
    <row r="4723" spans="1:4" x14ac:dyDescent="0.45">
      <c r="A4723" s="7">
        <v>45382</v>
      </c>
      <c r="B4723" t="s">
        <v>93</v>
      </c>
      <c r="C4723" t="s">
        <v>106</v>
      </c>
      <c r="D4723" s="8">
        <v>-47.81</v>
      </c>
    </row>
    <row r="4724" spans="1:4" x14ac:dyDescent="0.45">
      <c r="A4724" s="7">
        <v>45714</v>
      </c>
      <c r="B4724" t="s">
        <v>95</v>
      </c>
      <c r="C4724" t="s">
        <v>102</v>
      </c>
      <c r="D4724" s="8">
        <v>76.12</v>
      </c>
    </row>
    <row r="4725" spans="1:4" x14ac:dyDescent="0.45">
      <c r="A4725" s="7">
        <v>46030</v>
      </c>
      <c r="B4725" t="s">
        <v>97</v>
      </c>
      <c r="C4725" t="s">
        <v>101</v>
      </c>
      <c r="D4725" s="8">
        <v>59.24</v>
      </c>
    </row>
    <row r="4726" spans="1:4" x14ac:dyDescent="0.45">
      <c r="A4726" s="7">
        <v>45555</v>
      </c>
      <c r="B4726" t="s">
        <v>95</v>
      </c>
      <c r="C4726" t="s">
        <v>108</v>
      </c>
      <c r="D4726" s="8">
        <v>200.31</v>
      </c>
    </row>
    <row r="4727" spans="1:4" x14ac:dyDescent="0.45">
      <c r="A4727" s="7">
        <v>45319</v>
      </c>
      <c r="B4727" t="s">
        <v>95</v>
      </c>
      <c r="C4727" t="s">
        <v>108</v>
      </c>
      <c r="D4727" s="8">
        <v>314.95999999999998</v>
      </c>
    </row>
    <row r="4728" spans="1:4" x14ac:dyDescent="0.45">
      <c r="A4728" s="7">
        <v>46074</v>
      </c>
      <c r="B4728" t="s">
        <v>97</v>
      </c>
      <c r="C4728" t="s">
        <v>104</v>
      </c>
      <c r="D4728" s="8">
        <v>-107.12</v>
      </c>
    </row>
    <row r="4729" spans="1:4" x14ac:dyDescent="0.45">
      <c r="A4729" s="7">
        <v>45421</v>
      </c>
      <c r="B4729" t="s">
        <v>97</v>
      </c>
      <c r="C4729" t="s">
        <v>98</v>
      </c>
      <c r="D4729" s="8">
        <v>465.04</v>
      </c>
    </row>
    <row r="4730" spans="1:4" x14ac:dyDescent="0.45">
      <c r="A4730" s="7">
        <v>46187</v>
      </c>
      <c r="B4730" t="s">
        <v>93</v>
      </c>
      <c r="C4730" t="s">
        <v>103</v>
      </c>
      <c r="D4730" s="8">
        <v>-44.92</v>
      </c>
    </row>
    <row r="4731" spans="1:4" x14ac:dyDescent="0.45">
      <c r="A4731" s="7">
        <v>45576</v>
      </c>
      <c r="B4731" t="s">
        <v>97</v>
      </c>
      <c r="C4731" t="s">
        <v>101</v>
      </c>
      <c r="D4731" s="8">
        <v>-114.1</v>
      </c>
    </row>
    <row r="4732" spans="1:4" x14ac:dyDescent="0.45">
      <c r="A4732" s="7">
        <v>45497</v>
      </c>
      <c r="B4732" t="s">
        <v>95</v>
      </c>
      <c r="C4732" t="s">
        <v>102</v>
      </c>
      <c r="D4732" s="8">
        <v>29.75</v>
      </c>
    </row>
    <row r="4733" spans="1:4" x14ac:dyDescent="0.45">
      <c r="A4733" s="7">
        <v>45611</v>
      </c>
      <c r="B4733" t="s">
        <v>93</v>
      </c>
      <c r="C4733" t="s">
        <v>94</v>
      </c>
      <c r="D4733" s="8">
        <v>147.54</v>
      </c>
    </row>
    <row r="4734" spans="1:4" x14ac:dyDescent="0.45">
      <c r="A4734" s="7">
        <v>45617</v>
      </c>
      <c r="B4734" t="s">
        <v>93</v>
      </c>
      <c r="C4734" t="s">
        <v>100</v>
      </c>
      <c r="D4734" s="8">
        <v>148.69999999999999</v>
      </c>
    </row>
    <row r="4735" spans="1:4" x14ac:dyDescent="0.45">
      <c r="A4735" s="7">
        <v>45775</v>
      </c>
      <c r="B4735" t="s">
        <v>93</v>
      </c>
      <c r="C4735" t="s">
        <v>103</v>
      </c>
      <c r="D4735" s="8">
        <v>242.55</v>
      </c>
    </row>
    <row r="4736" spans="1:4" x14ac:dyDescent="0.45">
      <c r="A4736" s="7">
        <v>46062</v>
      </c>
      <c r="B4736" t="s">
        <v>97</v>
      </c>
      <c r="C4736" t="s">
        <v>104</v>
      </c>
      <c r="D4736" s="8">
        <v>359.7</v>
      </c>
    </row>
    <row r="4737" spans="1:4" x14ac:dyDescent="0.45">
      <c r="A4737" s="7">
        <v>45969</v>
      </c>
      <c r="B4737" t="s">
        <v>95</v>
      </c>
      <c r="C4737" t="s">
        <v>96</v>
      </c>
      <c r="D4737" s="8">
        <v>427.22</v>
      </c>
    </row>
    <row r="4738" spans="1:4" x14ac:dyDescent="0.45">
      <c r="A4738" s="7">
        <v>46165</v>
      </c>
      <c r="B4738" t="s">
        <v>95</v>
      </c>
      <c r="C4738" t="s">
        <v>105</v>
      </c>
      <c r="D4738" s="8">
        <v>439.43</v>
      </c>
    </row>
    <row r="4739" spans="1:4" x14ac:dyDescent="0.45">
      <c r="A4739" s="7">
        <v>45727</v>
      </c>
      <c r="B4739" t="s">
        <v>97</v>
      </c>
      <c r="C4739" t="s">
        <v>101</v>
      </c>
      <c r="D4739" s="8">
        <v>57.19</v>
      </c>
    </row>
    <row r="4740" spans="1:4" x14ac:dyDescent="0.45">
      <c r="A4740" s="7">
        <v>45358</v>
      </c>
      <c r="B4740" t="s">
        <v>93</v>
      </c>
      <c r="C4740" t="s">
        <v>94</v>
      </c>
      <c r="D4740" s="8">
        <v>68.5</v>
      </c>
    </row>
    <row r="4741" spans="1:4" x14ac:dyDescent="0.45">
      <c r="A4741" s="7">
        <v>45821</v>
      </c>
      <c r="B4741" t="s">
        <v>97</v>
      </c>
      <c r="C4741" t="s">
        <v>98</v>
      </c>
      <c r="D4741" s="8">
        <v>110.79</v>
      </c>
    </row>
    <row r="4742" spans="1:4" x14ac:dyDescent="0.45">
      <c r="A4742" s="7">
        <v>46082</v>
      </c>
      <c r="B4742" t="s">
        <v>97</v>
      </c>
      <c r="C4742" t="s">
        <v>107</v>
      </c>
      <c r="D4742" s="8">
        <v>-87.43</v>
      </c>
    </row>
    <row r="4743" spans="1:4" x14ac:dyDescent="0.45">
      <c r="A4743" s="7">
        <v>45941</v>
      </c>
      <c r="B4743" t="s">
        <v>97</v>
      </c>
      <c r="C4743" t="s">
        <v>98</v>
      </c>
      <c r="D4743" s="8">
        <v>-76.78</v>
      </c>
    </row>
    <row r="4744" spans="1:4" x14ac:dyDescent="0.45">
      <c r="A4744" s="7">
        <v>46104</v>
      </c>
      <c r="B4744" t="s">
        <v>93</v>
      </c>
      <c r="C4744" t="s">
        <v>94</v>
      </c>
      <c r="D4744" s="8">
        <v>443.31</v>
      </c>
    </row>
    <row r="4745" spans="1:4" x14ac:dyDescent="0.45">
      <c r="A4745" s="7">
        <v>45911</v>
      </c>
      <c r="B4745" t="s">
        <v>93</v>
      </c>
      <c r="C4745" t="s">
        <v>103</v>
      </c>
      <c r="D4745" s="8">
        <v>325.87</v>
      </c>
    </row>
    <row r="4746" spans="1:4" x14ac:dyDescent="0.45">
      <c r="A4746" s="7">
        <v>45560</v>
      </c>
      <c r="B4746" t="s">
        <v>97</v>
      </c>
      <c r="C4746" t="s">
        <v>101</v>
      </c>
      <c r="D4746" s="8">
        <v>14.62</v>
      </c>
    </row>
    <row r="4747" spans="1:4" x14ac:dyDescent="0.45">
      <c r="A4747" s="7">
        <v>45692</v>
      </c>
      <c r="B4747" t="s">
        <v>95</v>
      </c>
      <c r="C4747" t="s">
        <v>109</v>
      </c>
      <c r="D4747" s="8">
        <v>383.33</v>
      </c>
    </row>
    <row r="4748" spans="1:4" x14ac:dyDescent="0.45">
      <c r="A4748" s="7">
        <v>45988</v>
      </c>
      <c r="B4748" t="s">
        <v>97</v>
      </c>
      <c r="C4748" t="s">
        <v>107</v>
      </c>
      <c r="D4748" s="8">
        <v>143.5</v>
      </c>
    </row>
    <row r="4749" spans="1:4" x14ac:dyDescent="0.45">
      <c r="A4749" s="7">
        <v>45645</v>
      </c>
      <c r="B4749" t="s">
        <v>97</v>
      </c>
      <c r="C4749" t="s">
        <v>107</v>
      </c>
      <c r="D4749" s="8">
        <v>-4.8899999999999997</v>
      </c>
    </row>
    <row r="4750" spans="1:4" x14ac:dyDescent="0.45">
      <c r="A4750" s="7">
        <v>45780</v>
      </c>
      <c r="B4750" t="s">
        <v>95</v>
      </c>
      <c r="C4750" t="s">
        <v>108</v>
      </c>
      <c r="D4750" s="8">
        <v>-17.97</v>
      </c>
    </row>
    <row r="4751" spans="1:4" x14ac:dyDescent="0.45">
      <c r="A4751" s="7">
        <v>45690</v>
      </c>
      <c r="B4751" t="s">
        <v>95</v>
      </c>
      <c r="C4751" t="s">
        <v>102</v>
      </c>
      <c r="D4751" s="8">
        <v>220.56</v>
      </c>
    </row>
    <row r="4752" spans="1:4" x14ac:dyDescent="0.45">
      <c r="A4752" s="7">
        <v>45912</v>
      </c>
      <c r="B4752" t="s">
        <v>97</v>
      </c>
      <c r="C4752" t="s">
        <v>101</v>
      </c>
      <c r="D4752" s="8">
        <v>-86.93</v>
      </c>
    </row>
    <row r="4753" spans="1:4" x14ac:dyDescent="0.45">
      <c r="A4753" s="7">
        <v>45891</v>
      </c>
      <c r="B4753" t="s">
        <v>97</v>
      </c>
      <c r="C4753" t="s">
        <v>98</v>
      </c>
      <c r="D4753" s="8">
        <v>235.27</v>
      </c>
    </row>
    <row r="4754" spans="1:4" x14ac:dyDescent="0.45">
      <c r="A4754" s="7">
        <v>45920</v>
      </c>
      <c r="B4754" t="s">
        <v>93</v>
      </c>
      <c r="C4754" t="s">
        <v>100</v>
      </c>
      <c r="D4754" s="8">
        <v>136.5</v>
      </c>
    </row>
    <row r="4755" spans="1:4" x14ac:dyDescent="0.45">
      <c r="A4755" s="7">
        <v>45330</v>
      </c>
      <c r="B4755" t="s">
        <v>97</v>
      </c>
      <c r="C4755" t="s">
        <v>98</v>
      </c>
      <c r="D4755" s="8">
        <v>85.48</v>
      </c>
    </row>
    <row r="4756" spans="1:4" x14ac:dyDescent="0.45">
      <c r="A4756" s="7">
        <v>45579</v>
      </c>
      <c r="B4756" t="s">
        <v>93</v>
      </c>
      <c r="C4756" t="s">
        <v>103</v>
      </c>
      <c r="D4756" s="8">
        <v>-134.53</v>
      </c>
    </row>
    <row r="4757" spans="1:4" x14ac:dyDescent="0.45">
      <c r="A4757" s="7">
        <v>46161</v>
      </c>
      <c r="B4757" t="s">
        <v>95</v>
      </c>
      <c r="C4757" t="s">
        <v>109</v>
      </c>
      <c r="D4757" s="8">
        <v>306.14</v>
      </c>
    </row>
    <row r="4758" spans="1:4" x14ac:dyDescent="0.45">
      <c r="A4758" s="7">
        <v>45946</v>
      </c>
      <c r="B4758" t="s">
        <v>95</v>
      </c>
      <c r="C4758" t="s">
        <v>96</v>
      </c>
      <c r="D4758" s="8">
        <v>-19.88</v>
      </c>
    </row>
    <row r="4759" spans="1:4" x14ac:dyDescent="0.45">
      <c r="A4759" s="7">
        <v>45515</v>
      </c>
      <c r="B4759" t="s">
        <v>93</v>
      </c>
      <c r="C4759" t="s">
        <v>100</v>
      </c>
      <c r="D4759" s="8">
        <v>-99.47</v>
      </c>
    </row>
    <row r="4760" spans="1:4" x14ac:dyDescent="0.45">
      <c r="A4760" s="7">
        <v>45802</v>
      </c>
      <c r="B4760" t="s">
        <v>93</v>
      </c>
      <c r="C4760" t="s">
        <v>103</v>
      </c>
      <c r="D4760" s="8">
        <v>22.86</v>
      </c>
    </row>
    <row r="4761" spans="1:4" x14ac:dyDescent="0.45">
      <c r="A4761" s="7">
        <v>45292</v>
      </c>
      <c r="B4761" t="s">
        <v>93</v>
      </c>
      <c r="C4761" t="s">
        <v>106</v>
      </c>
      <c r="D4761" s="8">
        <v>-75.94</v>
      </c>
    </row>
    <row r="4762" spans="1:4" x14ac:dyDescent="0.45">
      <c r="A4762" s="7">
        <v>46136</v>
      </c>
      <c r="B4762" t="s">
        <v>95</v>
      </c>
      <c r="C4762" t="s">
        <v>96</v>
      </c>
      <c r="D4762" s="8">
        <v>432.08</v>
      </c>
    </row>
    <row r="4763" spans="1:4" x14ac:dyDescent="0.45">
      <c r="A4763" s="7">
        <v>45977</v>
      </c>
      <c r="B4763" t="s">
        <v>93</v>
      </c>
      <c r="C4763" t="s">
        <v>106</v>
      </c>
      <c r="D4763" s="8">
        <v>204.67</v>
      </c>
    </row>
    <row r="4764" spans="1:4" x14ac:dyDescent="0.45">
      <c r="A4764" s="7">
        <v>45477</v>
      </c>
      <c r="B4764" t="s">
        <v>95</v>
      </c>
      <c r="C4764" t="s">
        <v>99</v>
      </c>
      <c r="D4764" s="8">
        <v>101.94</v>
      </c>
    </row>
    <row r="4765" spans="1:4" x14ac:dyDescent="0.45">
      <c r="A4765" s="7">
        <v>45812</v>
      </c>
      <c r="B4765" t="s">
        <v>95</v>
      </c>
      <c r="C4765" t="s">
        <v>105</v>
      </c>
      <c r="D4765" s="8">
        <v>-116.59</v>
      </c>
    </row>
    <row r="4766" spans="1:4" x14ac:dyDescent="0.45">
      <c r="A4766" s="7">
        <v>45741</v>
      </c>
      <c r="B4766" t="s">
        <v>97</v>
      </c>
      <c r="C4766" t="s">
        <v>104</v>
      </c>
      <c r="D4766" s="8">
        <v>72.760000000000005</v>
      </c>
    </row>
    <row r="4767" spans="1:4" x14ac:dyDescent="0.45">
      <c r="A4767" s="7">
        <v>46139</v>
      </c>
      <c r="B4767" t="s">
        <v>97</v>
      </c>
      <c r="C4767" t="s">
        <v>98</v>
      </c>
      <c r="D4767" s="8">
        <v>342.72</v>
      </c>
    </row>
    <row r="4768" spans="1:4" x14ac:dyDescent="0.45">
      <c r="A4768" s="7">
        <v>45991</v>
      </c>
      <c r="B4768" t="s">
        <v>95</v>
      </c>
      <c r="C4768" t="s">
        <v>105</v>
      </c>
      <c r="D4768" s="8">
        <v>-67.12</v>
      </c>
    </row>
    <row r="4769" spans="1:4" x14ac:dyDescent="0.45">
      <c r="A4769" s="7">
        <v>46138</v>
      </c>
      <c r="B4769" t="s">
        <v>97</v>
      </c>
      <c r="C4769" t="s">
        <v>98</v>
      </c>
      <c r="D4769" s="8">
        <v>247.46</v>
      </c>
    </row>
    <row r="4770" spans="1:4" x14ac:dyDescent="0.45">
      <c r="A4770" s="7">
        <v>45597</v>
      </c>
      <c r="B4770" t="s">
        <v>95</v>
      </c>
      <c r="C4770" t="s">
        <v>99</v>
      </c>
      <c r="D4770" s="8">
        <v>67.400000000000006</v>
      </c>
    </row>
    <row r="4771" spans="1:4" x14ac:dyDescent="0.45">
      <c r="A4771" s="7">
        <v>45897</v>
      </c>
      <c r="B4771" t="s">
        <v>95</v>
      </c>
      <c r="C4771" t="s">
        <v>105</v>
      </c>
      <c r="D4771" s="8">
        <v>269.44</v>
      </c>
    </row>
    <row r="4772" spans="1:4" x14ac:dyDescent="0.45">
      <c r="A4772" s="7">
        <v>46148</v>
      </c>
      <c r="B4772" t="s">
        <v>95</v>
      </c>
      <c r="C4772" t="s">
        <v>96</v>
      </c>
      <c r="D4772" s="8">
        <v>-52.92</v>
      </c>
    </row>
    <row r="4773" spans="1:4" x14ac:dyDescent="0.45">
      <c r="A4773" s="7">
        <v>45426</v>
      </c>
      <c r="B4773" t="s">
        <v>97</v>
      </c>
      <c r="C4773" t="s">
        <v>101</v>
      </c>
      <c r="D4773" s="8">
        <v>327.77</v>
      </c>
    </row>
    <row r="4774" spans="1:4" x14ac:dyDescent="0.45">
      <c r="A4774" s="7">
        <v>46071</v>
      </c>
      <c r="B4774" t="s">
        <v>97</v>
      </c>
      <c r="C4774" t="s">
        <v>104</v>
      </c>
      <c r="D4774" s="8">
        <v>-24.95</v>
      </c>
    </row>
    <row r="4775" spans="1:4" x14ac:dyDescent="0.45">
      <c r="A4775" s="7">
        <v>46087</v>
      </c>
      <c r="B4775" t="s">
        <v>95</v>
      </c>
      <c r="C4775" t="s">
        <v>102</v>
      </c>
      <c r="D4775" s="8">
        <v>61.46</v>
      </c>
    </row>
    <row r="4776" spans="1:4" x14ac:dyDescent="0.45">
      <c r="A4776" s="7">
        <v>45819</v>
      </c>
      <c r="B4776" t="s">
        <v>97</v>
      </c>
      <c r="C4776" t="s">
        <v>107</v>
      </c>
      <c r="D4776" s="8">
        <v>298.68</v>
      </c>
    </row>
    <row r="4777" spans="1:4" x14ac:dyDescent="0.45">
      <c r="A4777" s="7">
        <v>45571</v>
      </c>
      <c r="B4777" t="s">
        <v>93</v>
      </c>
      <c r="C4777" t="s">
        <v>100</v>
      </c>
      <c r="D4777" s="8">
        <v>390.69</v>
      </c>
    </row>
    <row r="4778" spans="1:4" x14ac:dyDescent="0.45">
      <c r="A4778" s="7">
        <v>46009</v>
      </c>
      <c r="B4778" t="s">
        <v>95</v>
      </c>
      <c r="C4778" t="s">
        <v>96</v>
      </c>
      <c r="D4778" s="8">
        <v>284.77999999999997</v>
      </c>
    </row>
    <row r="4779" spans="1:4" x14ac:dyDescent="0.45">
      <c r="A4779" s="7">
        <v>45831</v>
      </c>
      <c r="B4779" t="s">
        <v>97</v>
      </c>
      <c r="C4779" t="s">
        <v>107</v>
      </c>
      <c r="D4779" s="8">
        <v>-92.74</v>
      </c>
    </row>
    <row r="4780" spans="1:4" x14ac:dyDescent="0.45">
      <c r="A4780" s="7">
        <v>45499</v>
      </c>
      <c r="B4780" t="s">
        <v>97</v>
      </c>
      <c r="C4780" t="s">
        <v>107</v>
      </c>
      <c r="D4780" s="8">
        <v>214.85</v>
      </c>
    </row>
    <row r="4781" spans="1:4" x14ac:dyDescent="0.45">
      <c r="A4781" s="7">
        <v>46102</v>
      </c>
      <c r="B4781" t="s">
        <v>97</v>
      </c>
      <c r="C4781" t="s">
        <v>101</v>
      </c>
      <c r="D4781" s="8">
        <v>-75.510000000000005</v>
      </c>
    </row>
    <row r="4782" spans="1:4" x14ac:dyDescent="0.45">
      <c r="A4782" s="7">
        <v>45990</v>
      </c>
      <c r="B4782" t="s">
        <v>97</v>
      </c>
      <c r="C4782" t="s">
        <v>98</v>
      </c>
      <c r="D4782" s="8">
        <v>-90.54</v>
      </c>
    </row>
    <row r="4783" spans="1:4" x14ac:dyDescent="0.45">
      <c r="A4783" s="7">
        <v>45748</v>
      </c>
      <c r="B4783" t="s">
        <v>93</v>
      </c>
      <c r="C4783" t="s">
        <v>94</v>
      </c>
      <c r="D4783" s="8">
        <v>323.13</v>
      </c>
    </row>
    <row r="4784" spans="1:4" x14ac:dyDescent="0.45">
      <c r="A4784" s="7">
        <v>46136</v>
      </c>
      <c r="B4784" t="s">
        <v>93</v>
      </c>
      <c r="C4784" t="s">
        <v>100</v>
      </c>
      <c r="D4784" s="8">
        <v>210.28</v>
      </c>
    </row>
    <row r="4785" spans="1:4" x14ac:dyDescent="0.45">
      <c r="A4785" s="7">
        <v>46038</v>
      </c>
      <c r="B4785" t="s">
        <v>93</v>
      </c>
      <c r="C4785" t="s">
        <v>100</v>
      </c>
      <c r="D4785" s="8">
        <v>23.32</v>
      </c>
    </row>
    <row r="4786" spans="1:4" x14ac:dyDescent="0.45">
      <c r="A4786" s="7">
        <v>45399</v>
      </c>
      <c r="B4786" t="s">
        <v>95</v>
      </c>
      <c r="C4786" t="s">
        <v>105</v>
      </c>
      <c r="D4786" s="8">
        <v>232.39</v>
      </c>
    </row>
    <row r="4787" spans="1:4" x14ac:dyDescent="0.45">
      <c r="A4787" s="7">
        <v>45384</v>
      </c>
      <c r="B4787" t="s">
        <v>97</v>
      </c>
      <c r="C4787" t="s">
        <v>104</v>
      </c>
      <c r="D4787" s="8">
        <v>173.88</v>
      </c>
    </row>
    <row r="4788" spans="1:4" x14ac:dyDescent="0.45">
      <c r="A4788" s="7">
        <v>45872</v>
      </c>
      <c r="B4788" t="s">
        <v>97</v>
      </c>
      <c r="C4788" t="s">
        <v>101</v>
      </c>
      <c r="D4788" s="8">
        <v>-46.29</v>
      </c>
    </row>
    <row r="4789" spans="1:4" x14ac:dyDescent="0.45">
      <c r="A4789" s="7">
        <v>45924</v>
      </c>
      <c r="B4789" t="s">
        <v>93</v>
      </c>
      <c r="C4789" t="s">
        <v>103</v>
      </c>
      <c r="D4789" s="8">
        <v>-147.66</v>
      </c>
    </row>
    <row r="4790" spans="1:4" x14ac:dyDescent="0.45">
      <c r="A4790" s="7">
        <v>45606</v>
      </c>
      <c r="B4790" t="s">
        <v>93</v>
      </c>
      <c r="C4790" t="s">
        <v>100</v>
      </c>
      <c r="D4790" s="8">
        <v>356.15</v>
      </c>
    </row>
    <row r="4791" spans="1:4" x14ac:dyDescent="0.45">
      <c r="A4791" s="7">
        <v>45975</v>
      </c>
      <c r="B4791" t="s">
        <v>97</v>
      </c>
      <c r="C4791" t="s">
        <v>107</v>
      </c>
      <c r="D4791" s="8">
        <v>130.54</v>
      </c>
    </row>
    <row r="4792" spans="1:4" x14ac:dyDescent="0.45">
      <c r="A4792" s="7">
        <v>45790</v>
      </c>
      <c r="B4792" t="s">
        <v>97</v>
      </c>
      <c r="C4792" t="s">
        <v>98</v>
      </c>
      <c r="D4792" s="8">
        <v>378.25</v>
      </c>
    </row>
    <row r="4793" spans="1:4" x14ac:dyDescent="0.45">
      <c r="A4793" s="7">
        <v>46125</v>
      </c>
      <c r="B4793" t="s">
        <v>97</v>
      </c>
      <c r="C4793" t="s">
        <v>107</v>
      </c>
      <c r="D4793" s="8">
        <v>123.68</v>
      </c>
    </row>
    <row r="4794" spans="1:4" x14ac:dyDescent="0.45">
      <c r="A4794" s="7">
        <v>46062</v>
      </c>
      <c r="B4794" t="s">
        <v>93</v>
      </c>
      <c r="C4794" t="s">
        <v>106</v>
      </c>
      <c r="D4794" s="8">
        <v>327.43</v>
      </c>
    </row>
    <row r="4795" spans="1:4" x14ac:dyDescent="0.45">
      <c r="A4795" s="7">
        <v>46130</v>
      </c>
      <c r="B4795" t="s">
        <v>93</v>
      </c>
      <c r="C4795" t="s">
        <v>106</v>
      </c>
      <c r="D4795" s="8">
        <v>449.32</v>
      </c>
    </row>
    <row r="4796" spans="1:4" x14ac:dyDescent="0.45">
      <c r="A4796" s="7">
        <v>46113</v>
      </c>
      <c r="B4796" t="s">
        <v>97</v>
      </c>
      <c r="C4796" t="s">
        <v>104</v>
      </c>
      <c r="D4796" s="8">
        <v>108.26</v>
      </c>
    </row>
    <row r="4797" spans="1:4" x14ac:dyDescent="0.45">
      <c r="A4797" s="7">
        <v>45880</v>
      </c>
      <c r="B4797" t="s">
        <v>95</v>
      </c>
      <c r="C4797" t="s">
        <v>99</v>
      </c>
      <c r="D4797" s="8">
        <v>-126.37</v>
      </c>
    </row>
    <row r="4798" spans="1:4" x14ac:dyDescent="0.45">
      <c r="A4798" s="7">
        <v>45998</v>
      </c>
      <c r="B4798" t="s">
        <v>93</v>
      </c>
      <c r="C4798" t="s">
        <v>100</v>
      </c>
      <c r="D4798" s="8">
        <v>75.930000000000007</v>
      </c>
    </row>
    <row r="4799" spans="1:4" x14ac:dyDescent="0.45">
      <c r="A4799" s="7">
        <v>45855</v>
      </c>
      <c r="B4799" t="s">
        <v>93</v>
      </c>
      <c r="C4799" t="s">
        <v>100</v>
      </c>
      <c r="D4799" s="8">
        <v>252.57</v>
      </c>
    </row>
    <row r="4800" spans="1:4" x14ac:dyDescent="0.45">
      <c r="A4800" s="7">
        <v>45414</v>
      </c>
      <c r="B4800" t="s">
        <v>95</v>
      </c>
      <c r="C4800" t="s">
        <v>105</v>
      </c>
      <c r="D4800" s="8">
        <v>380.17</v>
      </c>
    </row>
    <row r="4801" spans="1:4" x14ac:dyDescent="0.45">
      <c r="A4801" s="7">
        <v>45637</v>
      </c>
      <c r="B4801" t="s">
        <v>93</v>
      </c>
      <c r="C4801" t="s">
        <v>100</v>
      </c>
      <c r="D4801" s="8">
        <v>228.84</v>
      </c>
    </row>
    <row r="4802" spans="1:4" x14ac:dyDescent="0.45">
      <c r="A4802" s="7">
        <v>45677</v>
      </c>
      <c r="B4802" t="s">
        <v>93</v>
      </c>
      <c r="C4802" t="s">
        <v>100</v>
      </c>
      <c r="D4802" s="8">
        <v>194.85</v>
      </c>
    </row>
    <row r="4803" spans="1:4" x14ac:dyDescent="0.45">
      <c r="A4803" s="7">
        <v>45761</v>
      </c>
      <c r="B4803" t="s">
        <v>95</v>
      </c>
      <c r="C4803" t="s">
        <v>108</v>
      </c>
      <c r="D4803" s="8">
        <v>-82.22</v>
      </c>
    </row>
    <row r="4804" spans="1:4" x14ac:dyDescent="0.45">
      <c r="A4804" s="7">
        <v>46105</v>
      </c>
      <c r="B4804" t="s">
        <v>97</v>
      </c>
      <c r="C4804" t="s">
        <v>107</v>
      </c>
      <c r="D4804" s="8">
        <v>-43.54</v>
      </c>
    </row>
    <row r="4805" spans="1:4" x14ac:dyDescent="0.45">
      <c r="A4805" s="7">
        <v>45591</v>
      </c>
      <c r="B4805" t="s">
        <v>95</v>
      </c>
      <c r="C4805" t="s">
        <v>109</v>
      </c>
      <c r="D4805" s="8">
        <v>-53.48</v>
      </c>
    </row>
    <row r="4806" spans="1:4" x14ac:dyDescent="0.45">
      <c r="A4806" s="7">
        <v>45817</v>
      </c>
      <c r="B4806" t="s">
        <v>95</v>
      </c>
      <c r="C4806" t="s">
        <v>108</v>
      </c>
      <c r="D4806" s="8">
        <v>423.37</v>
      </c>
    </row>
    <row r="4807" spans="1:4" x14ac:dyDescent="0.45">
      <c r="A4807" s="7">
        <v>46044</v>
      </c>
      <c r="B4807" t="s">
        <v>93</v>
      </c>
      <c r="C4807" t="s">
        <v>94</v>
      </c>
      <c r="D4807" s="8">
        <v>201.97</v>
      </c>
    </row>
    <row r="4808" spans="1:4" x14ac:dyDescent="0.45">
      <c r="A4808" s="7">
        <v>45292</v>
      </c>
      <c r="B4808" t="s">
        <v>93</v>
      </c>
      <c r="C4808" t="s">
        <v>106</v>
      </c>
      <c r="D4808" s="8">
        <v>47.19</v>
      </c>
    </row>
    <row r="4809" spans="1:4" x14ac:dyDescent="0.45">
      <c r="A4809" s="7">
        <v>45504</v>
      </c>
      <c r="B4809" t="s">
        <v>97</v>
      </c>
      <c r="C4809" t="s">
        <v>98</v>
      </c>
      <c r="D4809" s="8">
        <v>8.5500000000000007</v>
      </c>
    </row>
    <row r="4810" spans="1:4" x14ac:dyDescent="0.45">
      <c r="A4810" s="7">
        <v>46095</v>
      </c>
      <c r="B4810" t="s">
        <v>97</v>
      </c>
      <c r="C4810" t="s">
        <v>107</v>
      </c>
      <c r="D4810" s="8">
        <v>306.72000000000003</v>
      </c>
    </row>
    <row r="4811" spans="1:4" x14ac:dyDescent="0.45">
      <c r="A4811" s="7">
        <v>45481</v>
      </c>
      <c r="B4811" t="s">
        <v>93</v>
      </c>
      <c r="C4811" t="s">
        <v>103</v>
      </c>
      <c r="D4811" s="8">
        <v>67.34</v>
      </c>
    </row>
    <row r="4812" spans="1:4" x14ac:dyDescent="0.45">
      <c r="A4812" s="7">
        <v>45379</v>
      </c>
      <c r="B4812" t="s">
        <v>97</v>
      </c>
      <c r="C4812" t="s">
        <v>98</v>
      </c>
      <c r="D4812" s="8">
        <v>186.2</v>
      </c>
    </row>
    <row r="4813" spans="1:4" x14ac:dyDescent="0.45">
      <c r="A4813" s="7">
        <v>46118</v>
      </c>
      <c r="B4813" t="s">
        <v>93</v>
      </c>
      <c r="C4813" t="s">
        <v>103</v>
      </c>
      <c r="D4813" s="8">
        <v>80.900000000000006</v>
      </c>
    </row>
    <row r="4814" spans="1:4" x14ac:dyDescent="0.45">
      <c r="A4814" s="7">
        <v>45694</v>
      </c>
      <c r="B4814" t="s">
        <v>95</v>
      </c>
      <c r="C4814" t="s">
        <v>102</v>
      </c>
      <c r="D4814" s="8">
        <v>291.98</v>
      </c>
    </row>
    <row r="4815" spans="1:4" x14ac:dyDescent="0.45">
      <c r="A4815" s="7">
        <v>45795</v>
      </c>
      <c r="B4815" t="s">
        <v>97</v>
      </c>
      <c r="C4815" t="s">
        <v>104</v>
      </c>
      <c r="D4815" s="8">
        <v>84.12</v>
      </c>
    </row>
    <row r="4816" spans="1:4" x14ac:dyDescent="0.45">
      <c r="A4816" s="7">
        <v>45941</v>
      </c>
      <c r="B4816" t="s">
        <v>97</v>
      </c>
      <c r="C4816" t="s">
        <v>101</v>
      </c>
      <c r="D4816" s="8">
        <v>273.3</v>
      </c>
    </row>
    <row r="4817" spans="1:4" x14ac:dyDescent="0.45">
      <c r="A4817" s="7">
        <v>46072</v>
      </c>
      <c r="B4817" t="s">
        <v>93</v>
      </c>
      <c r="C4817" t="s">
        <v>94</v>
      </c>
      <c r="D4817" s="8">
        <v>395.28</v>
      </c>
    </row>
    <row r="4818" spans="1:4" x14ac:dyDescent="0.45">
      <c r="A4818" s="7">
        <v>45557</v>
      </c>
      <c r="B4818" t="s">
        <v>97</v>
      </c>
      <c r="C4818" t="s">
        <v>98</v>
      </c>
      <c r="D4818" s="8">
        <v>113.71</v>
      </c>
    </row>
    <row r="4819" spans="1:4" x14ac:dyDescent="0.45">
      <c r="A4819" s="7">
        <v>45374</v>
      </c>
      <c r="B4819" t="s">
        <v>95</v>
      </c>
      <c r="C4819" t="s">
        <v>109</v>
      </c>
      <c r="D4819" s="8">
        <v>-106.42</v>
      </c>
    </row>
    <row r="4820" spans="1:4" x14ac:dyDescent="0.45">
      <c r="A4820" s="7">
        <v>45366</v>
      </c>
      <c r="B4820" t="s">
        <v>95</v>
      </c>
      <c r="C4820" t="s">
        <v>96</v>
      </c>
      <c r="D4820" s="8">
        <v>246.15</v>
      </c>
    </row>
    <row r="4821" spans="1:4" x14ac:dyDescent="0.45">
      <c r="A4821" s="7">
        <v>46159</v>
      </c>
      <c r="B4821" t="s">
        <v>95</v>
      </c>
      <c r="C4821" t="s">
        <v>99</v>
      </c>
      <c r="D4821" s="8">
        <v>380.36</v>
      </c>
    </row>
    <row r="4822" spans="1:4" x14ac:dyDescent="0.45">
      <c r="A4822" s="7">
        <v>45659</v>
      </c>
      <c r="B4822" t="s">
        <v>95</v>
      </c>
      <c r="C4822" t="s">
        <v>108</v>
      </c>
      <c r="D4822" s="8">
        <v>303.20999999999998</v>
      </c>
    </row>
    <row r="4823" spans="1:4" x14ac:dyDescent="0.45">
      <c r="A4823" s="7">
        <v>46171</v>
      </c>
      <c r="B4823" t="s">
        <v>93</v>
      </c>
      <c r="C4823" t="s">
        <v>94</v>
      </c>
      <c r="D4823" s="8">
        <v>-4.5599999999999996</v>
      </c>
    </row>
    <row r="4824" spans="1:4" x14ac:dyDescent="0.45">
      <c r="A4824" s="7">
        <v>46112</v>
      </c>
      <c r="B4824" t="s">
        <v>93</v>
      </c>
      <c r="C4824" t="s">
        <v>103</v>
      </c>
      <c r="D4824" s="8">
        <v>239.31</v>
      </c>
    </row>
    <row r="4825" spans="1:4" x14ac:dyDescent="0.45">
      <c r="A4825" s="7">
        <v>45945</v>
      </c>
      <c r="B4825" t="s">
        <v>97</v>
      </c>
      <c r="C4825" t="s">
        <v>104</v>
      </c>
      <c r="D4825" s="8">
        <v>302.63</v>
      </c>
    </row>
    <row r="4826" spans="1:4" x14ac:dyDescent="0.45">
      <c r="A4826" s="7">
        <v>45655</v>
      </c>
      <c r="B4826" t="s">
        <v>93</v>
      </c>
      <c r="C4826" t="s">
        <v>106</v>
      </c>
      <c r="D4826" s="8">
        <v>345.7</v>
      </c>
    </row>
    <row r="4827" spans="1:4" x14ac:dyDescent="0.45">
      <c r="A4827" s="7">
        <v>45688</v>
      </c>
      <c r="B4827" t="s">
        <v>93</v>
      </c>
      <c r="C4827" t="s">
        <v>100</v>
      </c>
      <c r="D4827" s="8">
        <v>337.1</v>
      </c>
    </row>
    <row r="4828" spans="1:4" x14ac:dyDescent="0.45">
      <c r="A4828" s="7">
        <v>45895</v>
      </c>
      <c r="B4828" t="s">
        <v>95</v>
      </c>
      <c r="C4828" t="s">
        <v>108</v>
      </c>
      <c r="D4828" s="8">
        <v>352.38</v>
      </c>
    </row>
    <row r="4829" spans="1:4" x14ac:dyDescent="0.45">
      <c r="A4829" s="7">
        <v>46030</v>
      </c>
      <c r="B4829" t="s">
        <v>95</v>
      </c>
      <c r="C4829" t="s">
        <v>96</v>
      </c>
      <c r="D4829" s="8">
        <v>369.48</v>
      </c>
    </row>
    <row r="4830" spans="1:4" x14ac:dyDescent="0.45">
      <c r="A4830" s="7">
        <v>45345</v>
      </c>
      <c r="B4830" t="s">
        <v>97</v>
      </c>
      <c r="C4830" t="s">
        <v>107</v>
      </c>
      <c r="D4830" s="8">
        <v>421.77</v>
      </c>
    </row>
    <row r="4831" spans="1:4" x14ac:dyDescent="0.45">
      <c r="A4831" s="7">
        <v>45873</v>
      </c>
      <c r="B4831" t="s">
        <v>93</v>
      </c>
      <c r="C4831" t="s">
        <v>94</v>
      </c>
      <c r="D4831" s="8">
        <v>375.18</v>
      </c>
    </row>
    <row r="4832" spans="1:4" x14ac:dyDescent="0.45">
      <c r="A4832" s="7">
        <v>45677</v>
      </c>
      <c r="B4832" t="s">
        <v>97</v>
      </c>
      <c r="C4832" t="s">
        <v>101</v>
      </c>
      <c r="D4832" s="8">
        <v>245.81</v>
      </c>
    </row>
    <row r="4833" spans="1:4" x14ac:dyDescent="0.45">
      <c r="A4833" s="7">
        <v>45526</v>
      </c>
      <c r="B4833" t="s">
        <v>97</v>
      </c>
      <c r="C4833" t="s">
        <v>107</v>
      </c>
      <c r="D4833" s="8">
        <v>22.95</v>
      </c>
    </row>
    <row r="4834" spans="1:4" x14ac:dyDescent="0.45">
      <c r="A4834" s="7">
        <v>45695</v>
      </c>
      <c r="B4834" t="s">
        <v>95</v>
      </c>
      <c r="C4834" t="s">
        <v>109</v>
      </c>
      <c r="D4834" s="8">
        <v>358.17</v>
      </c>
    </row>
    <row r="4835" spans="1:4" x14ac:dyDescent="0.45">
      <c r="A4835" s="7">
        <v>46155</v>
      </c>
      <c r="B4835" t="s">
        <v>97</v>
      </c>
      <c r="C4835" t="s">
        <v>98</v>
      </c>
      <c r="D4835" s="8">
        <v>32.71</v>
      </c>
    </row>
    <row r="4836" spans="1:4" x14ac:dyDescent="0.45">
      <c r="A4836" s="7">
        <v>45486</v>
      </c>
      <c r="B4836" t="s">
        <v>95</v>
      </c>
      <c r="C4836" t="s">
        <v>96</v>
      </c>
      <c r="D4836" s="8">
        <v>236.05</v>
      </c>
    </row>
    <row r="4837" spans="1:4" x14ac:dyDescent="0.45">
      <c r="A4837" s="7">
        <v>46146</v>
      </c>
      <c r="B4837" t="s">
        <v>95</v>
      </c>
      <c r="C4837" t="s">
        <v>108</v>
      </c>
      <c r="D4837" s="8">
        <v>-6.03</v>
      </c>
    </row>
    <row r="4838" spans="1:4" x14ac:dyDescent="0.45">
      <c r="A4838" s="7">
        <v>45622</v>
      </c>
      <c r="B4838" t="s">
        <v>97</v>
      </c>
      <c r="C4838" t="s">
        <v>107</v>
      </c>
      <c r="D4838" s="8">
        <v>187.45</v>
      </c>
    </row>
    <row r="4839" spans="1:4" x14ac:dyDescent="0.45">
      <c r="A4839" s="7">
        <v>45343</v>
      </c>
      <c r="B4839" t="s">
        <v>97</v>
      </c>
      <c r="C4839" t="s">
        <v>107</v>
      </c>
      <c r="D4839" s="8">
        <v>-4.21</v>
      </c>
    </row>
    <row r="4840" spans="1:4" x14ac:dyDescent="0.45">
      <c r="A4840" s="7">
        <v>45761</v>
      </c>
      <c r="B4840" t="s">
        <v>97</v>
      </c>
      <c r="C4840" t="s">
        <v>98</v>
      </c>
      <c r="D4840" s="8">
        <v>-6.85</v>
      </c>
    </row>
    <row r="4841" spans="1:4" x14ac:dyDescent="0.45">
      <c r="A4841" s="7">
        <v>45719</v>
      </c>
      <c r="B4841" t="s">
        <v>93</v>
      </c>
      <c r="C4841" t="s">
        <v>100</v>
      </c>
      <c r="D4841" s="8">
        <v>308.36</v>
      </c>
    </row>
    <row r="4842" spans="1:4" x14ac:dyDescent="0.45">
      <c r="A4842" s="7">
        <v>46037</v>
      </c>
      <c r="B4842" t="s">
        <v>97</v>
      </c>
      <c r="C4842" t="s">
        <v>104</v>
      </c>
      <c r="D4842" s="8">
        <v>350.45</v>
      </c>
    </row>
    <row r="4843" spans="1:4" x14ac:dyDescent="0.45">
      <c r="A4843" s="7">
        <v>45611</v>
      </c>
      <c r="B4843" t="s">
        <v>93</v>
      </c>
      <c r="C4843" t="s">
        <v>94</v>
      </c>
      <c r="D4843" s="8">
        <v>467.65</v>
      </c>
    </row>
    <row r="4844" spans="1:4" x14ac:dyDescent="0.45">
      <c r="A4844" s="7">
        <v>45688</v>
      </c>
      <c r="B4844" t="s">
        <v>95</v>
      </c>
      <c r="C4844" t="s">
        <v>109</v>
      </c>
      <c r="D4844" s="8">
        <v>361.47</v>
      </c>
    </row>
    <row r="4845" spans="1:4" x14ac:dyDescent="0.45">
      <c r="A4845" s="7">
        <v>46058</v>
      </c>
      <c r="B4845" t="s">
        <v>93</v>
      </c>
      <c r="C4845" t="s">
        <v>106</v>
      </c>
      <c r="D4845" s="8">
        <v>193.35</v>
      </c>
    </row>
    <row r="4846" spans="1:4" x14ac:dyDescent="0.45">
      <c r="A4846" s="7">
        <v>46031</v>
      </c>
      <c r="B4846" t="s">
        <v>95</v>
      </c>
      <c r="C4846" t="s">
        <v>108</v>
      </c>
      <c r="D4846" s="8">
        <v>160.80000000000001</v>
      </c>
    </row>
    <row r="4847" spans="1:4" x14ac:dyDescent="0.45">
      <c r="A4847" s="7">
        <v>45297</v>
      </c>
      <c r="B4847" t="s">
        <v>95</v>
      </c>
      <c r="C4847" t="s">
        <v>108</v>
      </c>
      <c r="D4847" s="8">
        <v>135.53</v>
      </c>
    </row>
    <row r="4848" spans="1:4" x14ac:dyDescent="0.45">
      <c r="A4848" s="7">
        <v>45861</v>
      </c>
      <c r="B4848" t="s">
        <v>95</v>
      </c>
      <c r="C4848" t="s">
        <v>96</v>
      </c>
      <c r="D4848" s="8">
        <v>26.77</v>
      </c>
    </row>
    <row r="4849" spans="1:4" x14ac:dyDescent="0.45">
      <c r="A4849" s="7">
        <v>45630</v>
      </c>
      <c r="B4849" t="s">
        <v>95</v>
      </c>
      <c r="C4849" t="s">
        <v>102</v>
      </c>
      <c r="D4849" s="8">
        <v>365.33</v>
      </c>
    </row>
    <row r="4850" spans="1:4" x14ac:dyDescent="0.45">
      <c r="A4850" s="7">
        <v>46081</v>
      </c>
      <c r="B4850" t="s">
        <v>93</v>
      </c>
      <c r="C4850" t="s">
        <v>100</v>
      </c>
      <c r="D4850" s="8">
        <v>-93.86</v>
      </c>
    </row>
    <row r="4851" spans="1:4" x14ac:dyDescent="0.45">
      <c r="A4851" s="7">
        <v>45995</v>
      </c>
      <c r="B4851" t="s">
        <v>93</v>
      </c>
      <c r="C4851" t="s">
        <v>100</v>
      </c>
      <c r="D4851" s="8">
        <v>246.02</v>
      </c>
    </row>
    <row r="4852" spans="1:4" x14ac:dyDescent="0.45">
      <c r="A4852" s="7">
        <v>45634</v>
      </c>
      <c r="B4852" t="s">
        <v>93</v>
      </c>
      <c r="C4852" t="s">
        <v>100</v>
      </c>
      <c r="D4852" s="8">
        <v>430.48</v>
      </c>
    </row>
    <row r="4853" spans="1:4" x14ac:dyDescent="0.45">
      <c r="A4853" s="7">
        <v>46070</v>
      </c>
      <c r="B4853" t="s">
        <v>97</v>
      </c>
      <c r="C4853" t="s">
        <v>107</v>
      </c>
      <c r="D4853" s="8">
        <v>468.97</v>
      </c>
    </row>
    <row r="4854" spans="1:4" x14ac:dyDescent="0.45">
      <c r="A4854" s="7">
        <v>45756</v>
      </c>
      <c r="B4854" t="s">
        <v>97</v>
      </c>
      <c r="C4854" t="s">
        <v>101</v>
      </c>
      <c r="D4854" s="8">
        <v>346.18</v>
      </c>
    </row>
    <row r="4855" spans="1:4" x14ac:dyDescent="0.45">
      <c r="A4855" s="7">
        <v>45522</v>
      </c>
      <c r="B4855" t="s">
        <v>97</v>
      </c>
      <c r="C4855" t="s">
        <v>107</v>
      </c>
      <c r="D4855" s="8">
        <v>195.6</v>
      </c>
    </row>
    <row r="4856" spans="1:4" x14ac:dyDescent="0.45">
      <c r="A4856" s="7">
        <v>45306</v>
      </c>
      <c r="B4856" t="s">
        <v>97</v>
      </c>
      <c r="C4856" t="s">
        <v>107</v>
      </c>
      <c r="D4856" s="8">
        <v>181.73</v>
      </c>
    </row>
    <row r="4857" spans="1:4" x14ac:dyDescent="0.45">
      <c r="A4857" s="7">
        <v>45352</v>
      </c>
      <c r="B4857" t="s">
        <v>95</v>
      </c>
      <c r="C4857" t="s">
        <v>102</v>
      </c>
      <c r="D4857" s="8">
        <v>187.43</v>
      </c>
    </row>
    <row r="4858" spans="1:4" x14ac:dyDescent="0.45">
      <c r="A4858" s="7">
        <v>45337</v>
      </c>
      <c r="B4858" t="s">
        <v>93</v>
      </c>
      <c r="C4858" t="s">
        <v>94</v>
      </c>
      <c r="D4858" s="8">
        <v>97.5</v>
      </c>
    </row>
    <row r="4859" spans="1:4" x14ac:dyDescent="0.45">
      <c r="A4859" s="7">
        <v>45725</v>
      </c>
      <c r="B4859" t="s">
        <v>95</v>
      </c>
      <c r="C4859" t="s">
        <v>109</v>
      </c>
      <c r="D4859" s="8">
        <v>486.79</v>
      </c>
    </row>
    <row r="4860" spans="1:4" x14ac:dyDescent="0.45">
      <c r="A4860" s="7">
        <v>45349</v>
      </c>
      <c r="B4860" t="s">
        <v>95</v>
      </c>
      <c r="C4860" t="s">
        <v>105</v>
      </c>
      <c r="D4860" s="8">
        <v>51.52</v>
      </c>
    </row>
    <row r="4861" spans="1:4" x14ac:dyDescent="0.45">
      <c r="A4861" s="7">
        <v>46097</v>
      </c>
      <c r="B4861" t="s">
        <v>95</v>
      </c>
      <c r="C4861" t="s">
        <v>99</v>
      </c>
      <c r="D4861" s="8">
        <v>334.7</v>
      </c>
    </row>
    <row r="4862" spans="1:4" x14ac:dyDescent="0.45">
      <c r="A4862" s="7">
        <v>45953</v>
      </c>
      <c r="B4862" t="s">
        <v>97</v>
      </c>
      <c r="C4862" t="s">
        <v>101</v>
      </c>
      <c r="D4862" s="8">
        <v>160.96</v>
      </c>
    </row>
    <row r="4863" spans="1:4" x14ac:dyDescent="0.45">
      <c r="A4863" s="7">
        <v>46180</v>
      </c>
      <c r="B4863" t="s">
        <v>97</v>
      </c>
      <c r="C4863" t="s">
        <v>107</v>
      </c>
      <c r="D4863" s="8">
        <v>-56.52</v>
      </c>
    </row>
    <row r="4864" spans="1:4" x14ac:dyDescent="0.45">
      <c r="A4864" s="7">
        <v>45469</v>
      </c>
      <c r="B4864" t="s">
        <v>95</v>
      </c>
      <c r="C4864" t="s">
        <v>99</v>
      </c>
      <c r="D4864" s="8">
        <v>322.33</v>
      </c>
    </row>
    <row r="4865" spans="1:4" x14ac:dyDescent="0.45">
      <c r="A4865" s="7">
        <v>45886</v>
      </c>
      <c r="B4865" t="s">
        <v>95</v>
      </c>
      <c r="C4865" t="s">
        <v>102</v>
      </c>
      <c r="D4865" s="8">
        <v>-32.57</v>
      </c>
    </row>
    <row r="4866" spans="1:4" x14ac:dyDescent="0.45">
      <c r="A4866" s="7">
        <v>46072</v>
      </c>
      <c r="B4866" t="s">
        <v>93</v>
      </c>
      <c r="C4866" t="s">
        <v>94</v>
      </c>
      <c r="D4866" s="8">
        <v>172.22</v>
      </c>
    </row>
    <row r="4867" spans="1:4" x14ac:dyDescent="0.45">
      <c r="A4867" s="7">
        <v>45438</v>
      </c>
      <c r="B4867" t="s">
        <v>93</v>
      </c>
      <c r="C4867" t="s">
        <v>106</v>
      </c>
      <c r="D4867" s="8">
        <v>271.77</v>
      </c>
    </row>
    <row r="4868" spans="1:4" x14ac:dyDescent="0.45">
      <c r="A4868" s="7">
        <v>46024</v>
      </c>
      <c r="B4868" t="s">
        <v>95</v>
      </c>
      <c r="C4868" t="s">
        <v>109</v>
      </c>
      <c r="D4868" s="8">
        <v>-76.430000000000007</v>
      </c>
    </row>
    <row r="4869" spans="1:4" x14ac:dyDescent="0.45">
      <c r="A4869" s="7">
        <v>45610</v>
      </c>
      <c r="B4869" t="s">
        <v>93</v>
      </c>
      <c r="C4869" t="s">
        <v>106</v>
      </c>
      <c r="D4869" s="8">
        <v>457.18</v>
      </c>
    </row>
    <row r="4870" spans="1:4" x14ac:dyDescent="0.45">
      <c r="A4870" s="7">
        <v>46159</v>
      </c>
      <c r="B4870" t="s">
        <v>95</v>
      </c>
      <c r="C4870" t="s">
        <v>109</v>
      </c>
      <c r="D4870" s="8">
        <v>382.78</v>
      </c>
    </row>
    <row r="4871" spans="1:4" x14ac:dyDescent="0.45">
      <c r="A4871" s="7">
        <v>45615</v>
      </c>
      <c r="B4871" t="s">
        <v>95</v>
      </c>
      <c r="C4871" t="s">
        <v>108</v>
      </c>
      <c r="D4871" s="8">
        <v>212.02</v>
      </c>
    </row>
    <row r="4872" spans="1:4" x14ac:dyDescent="0.45">
      <c r="A4872" s="7">
        <v>45368</v>
      </c>
      <c r="B4872" t="s">
        <v>93</v>
      </c>
      <c r="C4872" t="s">
        <v>100</v>
      </c>
      <c r="D4872" s="8">
        <v>196.82</v>
      </c>
    </row>
    <row r="4873" spans="1:4" x14ac:dyDescent="0.45">
      <c r="A4873" s="7">
        <v>45397</v>
      </c>
      <c r="B4873" t="s">
        <v>93</v>
      </c>
      <c r="C4873" t="s">
        <v>106</v>
      </c>
      <c r="D4873" s="8">
        <v>-72.36</v>
      </c>
    </row>
    <row r="4874" spans="1:4" x14ac:dyDescent="0.45">
      <c r="A4874" s="7">
        <v>45892</v>
      </c>
      <c r="B4874" t="s">
        <v>95</v>
      </c>
      <c r="C4874" t="s">
        <v>102</v>
      </c>
      <c r="D4874" s="8">
        <v>464.29</v>
      </c>
    </row>
    <row r="4875" spans="1:4" x14ac:dyDescent="0.45">
      <c r="A4875" s="7">
        <v>45804</v>
      </c>
      <c r="B4875" t="s">
        <v>97</v>
      </c>
      <c r="C4875" t="s">
        <v>98</v>
      </c>
      <c r="D4875" s="8">
        <v>113.59</v>
      </c>
    </row>
    <row r="4876" spans="1:4" x14ac:dyDescent="0.45">
      <c r="A4876" s="7">
        <v>45417</v>
      </c>
      <c r="B4876" t="s">
        <v>95</v>
      </c>
      <c r="C4876" t="s">
        <v>108</v>
      </c>
      <c r="D4876" s="8">
        <v>274.64</v>
      </c>
    </row>
    <row r="4877" spans="1:4" x14ac:dyDescent="0.45">
      <c r="A4877" s="7">
        <v>45396</v>
      </c>
      <c r="B4877" t="s">
        <v>97</v>
      </c>
      <c r="C4877" t="s">
        <v>107</v>
      </c>
      <c r="D4877" s="8">
        <v>107.88</v>
      </c>
    </row>
    <row r="4878" spans="1:4" x14ac:dyDescent="0.45">
      <c r="A4878" s="7">
        <v>45427</v>
      </c>
      <c r="B4878" t="s">
        <v>97</v>
      </c>
      <c r="C4878" t="s">
        <v>98</v>
      </c>
      <c r="D4878" s="8">
        <v>208.71</v>
      </c>
    </row>
    <row r="4879" spans="1:4" x14ac:dyDescent="0.45">
      <c r="A4879" s="7">
        <v>45839</v>
      </c>
      <c r="B4879" t="s">
        <v>95</v>
      </c>
      <c r="C4879" t="s">
        <v>105</v>
      </c>
      <c r="D4879" s="8">
        <v>-97.19</v>
      </c>
    </row>
    <row r="4880" spans="1:4" x14ac:dyDescent="0.45">
      <c r="A4880" s="7">
        <v>45373</v>
      </c>
      <c r="B4880" t="s">
        <v>95</v>
      </c>
      <c r="C4880" t="s">
        <v>96</v>
      </c>
      <c r="D4880" s="8">
        <v>72.39</v>
      </c>
    </row>
    <row r="4881" spans="1:4" x14ac:dyDescent="0.45">
      <c r="A4881" s="7">
        <v>45684</v>
      </c>
      <c r="B4881" t="s">
        <v>93</v>
      </c>
      <c r="C4881" t="s">
        <v>106</v>
      </c>
      <c r="D4881" s="8">
        <v>183.49</v>
      </c>
    </row>
    <row r="4882" spans="1:4" x14ac:dyDescent="0.45">
      <c r="A4882" s="7">
        <v>45961</v>
      </c>
      <c r="B4882" t="s">
        <v>97</v>
      </c>
      <c r="C4882" t="s">
        <v>104</v>
      </c>
      <c r="D4882" s="8">
        <v>163.69999999999999</v>
      </c>
    </row>
    <row r="4883" spans="1:4" x14ac:dyDescent="0.45">
      <c r="A4883" s="7">
        <v>46128</v>
      </c>
      <c r="B4883" t="s">
        <v>93</v>
      </c>
      <c r="C4883" t="s">
        <v>103</v>
      </c>
      <c r="D4883" s="8">
        <v>401.15</v>
      </c>
    </row>
    <row r="4884" spans="1:4" x14ac:dyDescent="0.45">
      <c r="A4884" s="7">
        <v>45402</v>
      </c>
      <c r="B4884" t="s">
        <v>97</v>
      </c>
      <c r="C4884" t="s">
        <v>107</v>
      </c>
      <c r="D4884" s="8">
        <v>159.69999999999999</v>
      </c>
    </row>
    <row r="4885" spans="1:4" x14ac:dyDescent="0.45">
      <c r="A4885" s="7">
        <v>45840</v>
      </c>
      <c r="B4885" t="s">
        <v>95</v>
      </c>
      <c r="C4885" t="s">
        <v>109</v>
      </c>
      <c r="D4885" s="8">
        <v>56.13</v>
      </c>
    </row>
    <row r="4886" spans="1:4" x14ac:dyDescent="0.45">
      <c r="A4886" s="7">
        <v>45393</v>
      </c>
      <c r="B4886" t="s">
        <v>97</v>
      </c>
      <c r="C4886" t="s">
        <v>107</v>
      </c>
      <c r="D4886" s="8">
        <v>406.56</v>
      </c>
    </row>
    <row r="4887" spans="1:4" x14ac:dyDescent="0.45">
      <c r="A4887" s="7">
        <v>45453</v>
      </c>
      <c r="B4887" t="s">
        <v>95</v>
      </c>
      <c r="C4887" t="s">
        <v>109</v>
      </c>
      <c r="D4887" s="8">
        <v>152.46</v>
      </c>
    </row>
    <row r="4888" spans="1:4" x14ac:dyDescent="0.45">
      <c r="A4888" s="7">
        <v>45514</v>
      </c>
      <c r="B4888" t="s">
        <v>93</v>
      </c>
      <c r="C4888" t="s">
        <v>100</v>
      </c>
      <c r="D4888" s="8">
        <v>45.75</v>
      </c>
    </row>
    <row r="4889" spans="1:4" x14ac:dyDescent="0.45">
      <c r="A4889" s="7">
        <v>45375</v>
      </c>
      <c r="B4889" t="s">
        <v>95</v>
      </c>
      <c r="C4889" t="s">
        <v>99</v>
      </c>
      <c r="D4889" s="8">
        <v>-109.41</v>
      </c>
    </row>
    <row r="4890" spans="1:4" x14ac:dyDescent="0.45">
      <c r="A4890" s="7">
        <v>45435</v>
      </c>
      <c r="B4890" t="s">
        <v>95</v>
      </c>
      <c r="C4890" t="s">
        <v>109</v>
      </c>
      <c r="D4890" s="8">
        <v>47.68</v>
      </c>
    </row>
    <row r="4891" spans="1:4" x14ac:dyDescent="0.45">
      <c r="A4891" s="7">
        <v>45697</v>
      </c>
      <c r="B4891" t="s">
        <v>95</v>
      </c>
      <c r="C4891" t="s">
        <v>109</v>
      </c>
      <c r="D4891" s="8">
        <v>375.04</v>
      </c>
    </row>
    <row r="4892" spans="1:4" x14ac:dyDescent="0.45">
      <c r="A4892" s="7">
        <v>45433</v>
      </c>
      <c r="B4892" t="s">
        <v>93</v>
      </c>
      <c r="C4892" t="s">
        <v>106</v>
      </c>
      <c r="D4892" s="8">
        <v>1.89</v>
      </c>
    </row>
    <row r="4893" spans="1:4" x14ac:dyDescent="0.45">
      <c r="A4893" s="7">
        <v>45844</v>
      </c>
      <c r="B4893" t="s">
        <v>93</v>
      </c>
      <c r="C4893" t="s">
        <v>103</v>
      </c>
      <c r="D4893" s="8">
        <v>477.14</v>
      </c>
    </row>
    <row r="4894" spans="1:4" x14ac:dyDescent="0.45">
      <c r="A4894" s="7">
        <v>45681</v>
      </c>
      <c r="B4894" t="s">
        <v>93</v>
      </c>
      <c r="C4894" t="s">
        <v>103</v>
      </c>
      <c r="D4894" s="8">
        <v>16.22</v>
      </c>
    </row>
    <row r="4895" spans="1:4" x14ac:dyDescent="0.45">
      <c r="A4895" s="7">
        <v>45762</v>
      </c>
      <c r="B4895" t="s">
        <v>97</v>
      </c>
      <c r="C4895" t="s">
        <v>104</v>
      </c>
      <c r="D4895" s="8">
        <v>270.35000000000002</v>
      </c>
    </row>
    <row r="4896" spans="1:4" x14ac:dyDescent="0.45">
      <c r="A4896" s="7">
        <v>45742</v>
      </c>
      <c r="B4896" t="s">
        <v>97</v>
      </c>
      <c r="C4896" t="s">
        <v>104</v>
      </c>
      <c r="D4896" s="8">
        <v>-109.75</v>
      </c>
    </row>
    <row r="4897" spans="1:4" x14ac:dyDescent="0.45">
      <c r="A4897" s="7">
        <v>46088</v>
      </c>
      <c r="B4897" t="s">
        <v>97</v>
      </c>
      <c r="C4897" t="s">
        <v>101</v>
      </c>
      <c r="D4897" s="8">
        <v>331.28</v>
      </c>
    </row>
    <row r="4898" spans="1:4" x14ac:dyDescent="0.45">
      <c r="A4898" s="7">
        <v>46099</v>
      </c>
      <c r="B4898" t="s">
        <v>95</v>
      </c>
      <c r="C4898" t="s">
        <v>109</v>
      </c>
      <c r="D4898" s="8">
        <v>147.52000000000001</v>
      </c>
    </row>
    <row r="4899" spans="1:4" x14ac:dyDescent="0.45">
      <c r="A4899" s="7">
        <v>45880</v>
      </c>
      <c r="B4899" t="s">
        <v>93</v>
      </c>
      <c r="C4899" t="s">
        <v>94</v>
      </c>
      <c r="D4899" s="8">
        <v>236.58</v>
      </c>
    </row>
    <row r="4900" spans="1:4" x14ac:dyDescent="0.45">
      <c r="A4900" s="7">
        <v>45645</v>
      </c>
      <c r="B4900" t="s">
        <v>93</v>
      </c>
      <c r="C4900" t="s">
        <v>94</v>
      </c>
      <c r="D4900" s="8">
        <v>148.1</v>
      </c>
    </row>
    <row r="4901" spans="1:4" x14ac:dyDescent="0.45">
      <c r="A4901" s="7">
        <v>45837</v>
      </c>
      <c r="B4901" t="s">
        <v>95</v>
      </c>
      <c r="C4901" t="s">
        <v>96</v>
      </c>
      <c r="D4901" s="8">
        <v>419.87</v>
      </c>
    </row>
    <row r="4902" spans="1:4" x14ac:dyDescent="0.45">
      <c r="A4902" s="7">
        <v>45356</v>
      </c>
      <c r="B4902" t="s">
        <v>95</v>
      </c>
      <c r="C4902" t="s">
        <v>108</v>
      </c>
      <c r="D4902" s="8">
        <v>486.05</v>
      </c>
    </row>
    <row r="4903" spans="1:4" x14ac:dyDescent="0.45">
      <c r="A4903" s="7">
        <v>45619</v>
      </c>
      <c r="B4903" t="s">
        <v>97</v>
      </c>
      <c r="C4903" t="s">
        <v>104</v>
      </c>
      <c r="D4903" s="8">
        <v>447.41</v>
      </c>
    </row>
    <row r="4904" spans="1:4" x14ac:dyDescent="0.45">
      <c r="A4904" s="7">
        <v>45752</v>
      </c>
      <c r="B4904" t="s">
        <v>97</v>
      </c>
      <c r="C4904" t="s">
        <v>107</v>
      </c>
      <c r="D4904" s="8">
        <v>347.25</v>
      </c>
    </row>
    <row r="4905" spans="1:4" x14ac:dyDescent="0.45">
      <c r="A4905" s="7">
        <v>45783</v>
      </c>
      <c r="B4905" t="s">
        <v>95</v>
      </c>
      <c r="C4905" t="s">
        <v>96</v>
      </c>
      <c r="D4905" s="8">
        <v>28.33</v>
      </c>
    </row>
    <row r="4906" spans="1:4" x14ac:dyDescent="0.45">
      <c r="A4906" s="7">
        <v>46171</v>
      </c>
      <c r="B4906" t="s">
        <v>97</v>
      </c>
      <c r="C4906" t="s">
        <v>107</v>
      </c>
      <c r="D4906" s="8">
        <v>-102.42</v>
      </c>
    </row>
    <row r="4907" spans="1:4" x14ac:dyDescent="0.45">
      <c r="A4907" s="7">
        <v>45342</v>
      </c>
      <c r="B4907" t="s">
        <v>97</v>
      </c>
      <c r="C4907" t="s">
        <v>101</v>
      </c>
      <c r="D4907" s="8">
        <v>80.959999999999994</v>
      </c>
    </row>
    <row r="4908" spans="1:4" x14ac:dyDescent="0.45">
      <c r="A4908" s="7">
        <v>46184</v>
      </c>
      <c r="B4908" t="s">
        <v>97</v>
      </c>
      <c r="C4908" t="s">
        <v>107</v>
      </c>
      <c r="D4908" s="8">
        <v>498.43</v>
      </c>
    </row>
    <row r="4909" spans="1:4" x14ac:dyDescent="0.45">
      <c r="A4909" s="7">
        <v>46063</v>
      </c>
      <c r="B4909" t="s">
        <v>93</v>
      </c>
      <c r="C4909" t="s">
        <v>103</v>
      </c>
      <c r="D4909" s="8">
        <v>81.239999999999995</v>
      </c>
    </row>
    <row r="4910" spans="1:4" x14ac:dyDescent="0.45">
      <c r="A4910" s="7">
        <v>45707</v>
      </c>
      <c r="B4910" t="s">
        <v>95</v>
      </c>
      <c r="C4910" t="s">
        <v>96</v>
      </c>
      <c r="D4910" s="8">
        <v>408.57</v>
      </c>
    </row>
    <row r="4911" spans="1:4" x14ac:dyDescent="0.45">
      <c r="A4911" s="7">
        <v>45917</v>
      </c>
      <c r="B4911" t="s">
        <v>95</v>
      </c>
      <c r="C4911" t="s">
        <v>105</v>
      </c>
      <c r="D4911" s="8">
        <v>24.45</v>
      </c>
    </row>
    <row r="4912" spans="1:4" x14ac:dyDescent="0.45">
      <c r="A4912" s="7">
        <v>45514</v>
      </c>
      <c r="B4912" t="s">
        <v>95</v>
      </c>
      <c r="C4912" t="s">
        <v>99</v>
      </c>
      <c r="D4912" s="8">
        <v>107.59</v>
      </c>
    </row>
    <row r="4913" spans="1:4" x14ac:dyDescent="0.45">
      <c r="A4913" s="7">
        <v>46090</v>
      </c>
      <c r="B4913" t="s">
        <v>97</v>
      </c>
      <c r="C4913" t="s">
        <v>101</v>
      </c>
      <c r="D4913" s="8">
        <v>78.98</v>
      </c>
    </row>
    <row r="4914" spans="1:4" x14ac:dyDescent="0.45">
      <c r="A4914" s="7">
        <v>45611</v>
      </c>
      <c r="B4914" t="s">
        <v>95</v>
      </c>
      <c r="C4914" t="s">
        <v>105</v>
      </c>
      <c r="D4914" s="8">
        <v>270.92</v>
      </c>
    </row>
    <row r="4915" spans="1:4" x14ac:dyDescent="0.45">
      <c r="A4915" s="7">
        <v>45995</v>
      </c>
      <c r="B4915" t="s">
        <v>95</v>
      </c>
      <c r="C4915" t="s">
        <v>108</v>
      </c>
      <c r="D4915" s="8">
        <v>387.59</v>
      </c>
    </row>
    <row r="4916" spans="1:4" x14ac:dyDescent="0.45">
      <c r="A4916" s="7">
        <v>45441</v>
      </c>
      <c r="B4916" t="s">
        <v>97</v>
      </c>
      <c r="C4916" t="s">
        <v>101</v>
      </c>
      <c r="D4916" s="8">
        <v>397.32</v>
      </c>
    </row>
    <row r="4917" spans="1:4" x14ac:dyDescent="0.45">
      <c r="A4917" s="7">
        <v>45518</v>
      </c>
      <c r="B4917" t="s">
        <v>93</v>
      </c>
      <c r="C4917" t="s">
        <v>100</v>
      </c>
      <c r="D4917" s="8">
        <v>292.14</v>
      </c>
    </row>
    <row r="4918" spans="1:4" x14ac:dyDescent="0.45">
      <c r="A4918" s="7">
        <v>45801</v>
      </c>
      <c r="B4918" t="s">
        <v>95</v>
      </c>
      <c r="C4918" t="s">
        <v>102</v>
      </c>
      <c r="D4918" s="8">
        <v>15.03</v>
      </c>
    </row>
    <row r="4919" spans="1:4" x14ac:dyDescent="0.45">
      <c r="A4919" s="7">
        <v>45503</v>
      </c>
      <c r="B4919" t="s">
        <v>95</v>
      </c>
      <c r="C4919" t="s">
        <v>108</v>
      </c>
      <c r="D4919" s="8">
        <v>327.87</v>
      </c>
    </row>
    <row r="4920" spans="1:4" x14ac:dyDescent="0.45">
      <c r="A4920" s="7">
        <v>45786</v>
      </c>
      <c r="B4920" t="s">
        <v>97</v>
      </c>
      <c r="C4920" t="s">
        <v>104</v>
      </c>
      <c r="D4920" s="8">
        <v>476.92</v>
      </c>
    </row>
    <row r="4921" spans="1:4" x14ac:dyDescent="0.45">
      <c r="A4921" s="7">
        <v>45934</v>
      </c>
      <c r="B4921" t="s">
        <v>93</v>
      </c>
      <c r="C4921" t="s">
        <v>103</v>
      </c>
      <c r="D4921" s="8">
        <v>106.53</v>
      </c>
    </row>
    <row r="4922" spans="1:4" x14ac:dyDescent="0.45">
      <c r="A4922" s="7">
        <v>45721</v>
      </c>
      <c r="B4922" t="s">
        <v>93</v>
      </c>
      <c r="C4922" t="s">
        <v>94</v>
      </c>
      <c r="D4922" s="8">
        <v>-46</v>
      </c>
    </row>
    <row r="4923" spans="1:4" x14ac:dyDescent="0.45">
      <c r="A4923" s="7">
        <v>45461</v>
      </c>
      <c r="B4923" t="s">
        <v>95</v>
      </c>
      <c r="C4923" t="s">
        <v>102</v>
      </c>
      <c r="D4923" s="8">
        <v>166.69</v>
      </c>
    </row>
    <row r="4924" spans="1:4" x14ac:dyDescent="0.45">
      <c r="A4924" s="7">
        <v>45581</v>
      </c>
      <c r="B4924" t="s">
        <v>97</v>
      </c>
      <c r="C4924" t="s">
        <v>101</v>
      </c>
      <c r="D4924" s="8">
        <v>329.09</v>
      </c>
    </row>
    <row r="4925" spans="1:4" x14ac:dyDescent="0.45">
      <c r="A4925" s="7">
        <v>45627</v>
      </c>
      <c r="B4925" t="s">
        <v>93</v>
      </c>
      <c r="C4925" t="s">
        <v>106</v>
      </c>
      <c r="D4925" s="8">
        <v>149.15</v>
      </c>
    </row>
    <row r="4926" spans="1:4" x14ac:dyDescent="0.45">
      <c r="A4926" s="7">
        <v>45658</v>
      </c>
      <c r="B4926" t="s">
        <v>93</v>
      </c>
      <c r="C4926" t="s">
        <v>94</v>
      </c>
      <c r="D4926" s="8">
        <v>138.63999999999999</v>
      </c>
    </row>
    <row r="4927" spans="1:4" x14ac:dyDescent="0.45">
      <c r="A4927" s="7">
        <v>45327</v>
      </c>
      <c r="B4927" t="s">
        <v>97</v>
      </c>
      <c r="C4927" t="s">
        <v>101</v>
      </c>
      <c r="D4927" s="8">
        <v>-74.61</v>
      </c>
    </row>
    <row r="4928" spans="1:4" x14ac:dyDescent="0.45">
      <c r="A4928" s="7">
        <v>45431</v>
      </c>
      <c r="B4928" t="s">
        <v>97</v>
      </c>
      <c r="C4928" t="s">
        <v>107</v>
      </c>
      <c r="D4928" s="8">
        <v>132.37</v>
      </c>
    </row>
    <row r="4929" spans="1:4" x14ac:dyDescent="0.45">
      <c r="A4929" s="7">
        <v>45765</v>
      </c>
      <c r="B4929" t="s">
        <v>95</v>
      </c>
      <c r="C4929" t="s">
        <v>99</v>
      </c>
      <c r="D4929" s="8">
        <v>-47.54</v>
      </c>
    </row>
    <row r="4930" spans="1:4" x14ac:dyDescent="0.45">
      <c r="A4930" s="7">
        <v>45996</v>
      </c>
      <c r="B4930" t="s">
        <v>93</v>
      </c>
      <c r="C4930" t="s">
        <v>94</v>
      </c>
      <c r="D4930" s="8">
        <v>306.77999999999997</v>
      </c>
    </row>
    <row r="4931" spans="1:4" x14ac:dyDescent="0.45">
      <c r="A4931" s="7">
        <v>45673</v>
      </c>
      <c r="B4931" t="s">
        <v>93</v>
      </c>
      <c r="C4931" t="s">
        <v>94</v>
      </c>
      <c r="D4931" s="8">
        <v>15.43</v>
      </c>
    </row>
    <row r="4932" spans="1:4" x14ac:dyDescent="0.45">
      <c r="A4932" s="7">
        <v>45423</v>
      </c>
      <c r="B4932" t="s">
        <v>97</v>
      </c>
      <c r="C4932" t="s">
        <v>107</v>
      </c>
      <c r="D4932" s="8">
        <v>236.29</v>
      </c>
    </row>
    <row r="4933" spans="1:4" x14ac:dyDescent="0.45">
      <c r="A4933" s="7">
        <v>45938</v>
      </c>
      <c r="B4933" t="s">
        <v>93</v>
      </c>
      <c r="C4933" t="s">
        <v>106</v>
      </c>
      <c r="D4933" s="8">
        <v>367.11</v>
      </c>
    </row>
    <row r="4934" spans="1:4" x14ac:dyDescent="0.45">
      <c r="A4934" s="7">
        <v>45556</v>
      </c>
      <c r="B4934" t="s">
        <v>97</v>
      </c>
      <c r="C4934" t="s">
        <v>104</v>
      </c>
      <c r="D4934" s="8">
        <v>492.1</v>
      </c>
    </row>
    <row r="4935" spans="1:4" x14ac:dyDescent="0.45">
      <c r="A4935" s="7">
        <v>45960</v>
      </c>
      <c r="B4935" t="s">
        <v>93</v>
      </c>
      <c r="C4935" t="s">
        <v>106</v>
      </c>
      <c r="D4935" s="8">
        <v>392.63</v>
      </c>
    </row>
    <row r="4936" spans="1:4" x14ac:dyDescent="0.45">
      <c r="A4936" s="7">
        <v>46090</v>
      </c>
      <c r="B4936" t="s">
        <v>97</v>
      </c>
      <c r="C4936" t="s">
        <v>98</v>
      </c>
      <c r="D4936" s="8">
        <v>-7.45</v>
      </c>
    </row>
    <row r="4937" spans="1:4" x14ac:dyDescent="0.45">
      <c r="A4937" s="7">
        <v>45590</v>
      </c>
      <c r="B4937" t="s">
        <v>95</v>
      </c>
      <c r="C4937" t="s">
        <v>99</v>
      </c>
      <c r="D4937" s="8">
        <v>40.11</v>
      </c>
    </row>
    <row r="4938" spans="1:4" x14ac:dyDescent="0.45">
      <c r="A4938" s="7">
        <v>45893</v>
      </c>
      <c r="B4938" t="s">
        <v>93</v>
      </c>
      <c r="C4938" t="s">
        <v>94</v>
      </c>
      <c r="D4938" s="8">
        <v>275.94</v>
      </c>
    </row>
    <row r="4939" spans="1:4" x14ac:dyDescent="0.45">
      <c r="A4939" s="7">
        <v>45696</v>
      </c>
      <c r="B4939" t="s">
        <v>93</v>
      </c>
      <c r="C4939" t="s">
        <v>100</v>
      </c>
      <c r="D4939" s="8">
        <v>-140.41999999999999</v>
      </c>
    </row>
    <row r="4940" spans="1:4" x14ac:dyDescent="0.45">
      <c r="A4940" s="7">
        <v>45807</v>
      </c>
      <c r="B4940" t="s">
        <v>95</v>
      </c>
      <c r="C4940" t="s">
        <v>99</v>
      </c>
      <c r="D4940" s="8">
        <v>174.48</v>
      </c>
    </row>
    <row r="4941" spans="1:4" x14ac:dyDescent="0.45">
      <c r="A4941" s="7">
        <v>45908</v>
      </c>
      <c r="B4941" t="s">
        <v>93</v>
      </c>
      <c r="C4941" t="s">
        <v>106</v>
      </c>
      <c r="D4941" s="8">
        <v>409.12</v>
      </c>
    </row>
    <row r="4942" spans="1:4" x14ac:dyDescent="0.45">
      <c r="A4942" s="7">
        <v>45700</v>
      </c>
      <c r="B4942" t="s">
        <v>95</v>
      </c>
      <c r="C4942" t="s">
        <v>105</v>
      </c>
      <c r="D4942" s="8">
        <v>60.85</v>
      </c>
    </row>
    <row r="4943" spans="1:4" x14ac:dyDescent="0.45">
      <c r="A4943" s="7">
        <v>46151</v>
      </c>
      <c r="B4943" t="s">
        <v>95</v>
      </c>
      <c r="C4943" t="s">
        <v>108</v>
      </c>
      <c r="D4943" s="8">
        <v>259.72000000000003</v>
      </c>
    </row>
    <row r="4944" spans="1:4" x14ac:dyDescent="0.45">
      <c r="A4944" s="7">
        <v>45335</v>
      </c>
      <c r="B4944" t="s">
        <v>95</v>
      </c>
      <c r="C4944" t="s">
        <v>108</v>
      </c>
      <c r="D4944" s="8">
        <v>178.75</v>
      </c>
    </row>
    <row r="4945" spans="1:4" x14ac:dyDescent="0.45">
      <c r="A4945" s="7">
        <v>46072</v>
      </c>
      <c r="B4945" t="s">
        <v>93</v>
      </c>
      <c r="C4945" t="s">
        <v>103</v>
      </c>
      <c r="D4945" s="8">
        <v>57.46</v>
      </c>
    </row>
    <row r="4946" spans="1:4" x14ac:dyDescent="0.45">
      <c r="A4946" s="7">
        <v>45569</v>
      </c>
      <c r="B4946" t="s">
        <v>93</v>
      </c>
      <c r="C4946" t="s">
        <v>106</v>
      </c>
      <c r="D4946" s="8">
        <v>208.76</v>
      </c>
    </row>
    <row r="4947" spans="1:4" x14ac:dyDescent="0.45">
      <c r="A4947" s="7">
        <v>45581</v>
      </c>
      <c r="B4947" t="s">
        <v>97</v>
      </c>
      <c r="C4947" t="s">
        <v>101</v>
      </c>
      <c r="D4947" s="8">
        <v>-75.89</v>
      </c>
    </row>
    <row r="4948" spans="1:4" x14ac:dyDescent="0.45">
      <c r="A4948" s="7">
        <v>46016</v>
      </c>
      <c r="B4948" t="s">
        <v>93</v>
      </c>
      <c r="C4948" t="s">
        <v>103</v>
      </c>
      <c r="D4948" s="8">
        <v>76.709999999999994</v>
      </c>
    </row>
    <row r="4949" spans="1:4" x14ac:dyDescent="0.45">
      <c r="A4949" s="7">
        <v>45726</v>
      </c>
      <c r="B4949" t="s">
        <v>95</v>
      </c>
      <c r="C4949" t="s">
        <v>96</v>
      </c>
      <c r="D4949" s="8">
        <v>-121.24</v>
      </c>
    </row>
    <row r="4950" spans="1:4" x14ac:dyDescent="0.45">
      <c r="A4950" s="7">
        <v>45565</v>
      </c>
      <c r="B4950" t="s">
        <v>93</v>
      </c>
      <c r="C4950" t="s">
        <v>106</v>
      </c>
      <c r="D4950" s="8">
        <v>392.39</v>
      </c>
    </row>
    <row r="4951" spans="1:4" x14ac:dyDescent="0.45">
      <c r="A4951" s="7">
        <v>46189</v>
      </c>
      <c r="B4951" t="s">
        <v>93</v>
      </c>
      <c r="C4951" t="s">
        <v>106</v>
      </c>
      <c r="D4951" s="8">
        <v>-96.93</v>
      </c>
    </row>
    <row r="4952" spans="1:4" x14ac:dyDescent="0.45">
      <c r="A4952" s="7">
        <v>45474</v>
      </c>
      <c r="B4952" t="s">
        <v>97</v>
      </c>
      <c r="C4952" t="s">
        <v>101</v>
      </c>
      <c r="D4952" s="8">
        <v>-139.32</v>
      </c>
    </row>
    <row r="4953" spans="1:4" x14ac:dyDescent="0.45">
      <c r="A4953" s="7">
        <v>45988</v>
      </c>
      <c r="B4953" t="s">
        <v>93</v>
      </c>
      <c r="C4953" t="s">
        <v>100</v>
      </c>
      <c r="D4953" s="8">
        <v>486.52</v>
      </c>
    </row>
    <row r="4954" spans="1:4" x14ac:dyDescent="0.45">
      <c r="A4954" s="7">
        <v>45494</v>
      </c>
      <c r="B4954" t="s">
        <v>97</v>
      </c>
      <c r="C4954" t="s">
        <v>107</v>
      </c>
      <c r="D4954" s="8">
        <v>141.75</v>
      </c>
    </row>
    <row r="4955" spans="1:4" x14ac:dyDescent="0.45">
      <c r="A4955" s="7">
        <v>46055</v>
      </c>
      <c r="B4955" t="s">
        <v>93</v>
      </c>
      <c r="C4955" t="s">
        <v>103</v>
      </c>
      <c r="D4955" s="8">
        <v>380.88</v>
      </c>
    </row>
    <row r="4956" spans="1:4" x14ac:dyDescent="0.45">
      <c r="A4956" s="7">
        <v>45335</v>
      </c>
      <c r="B4956" t="s">
        <v>95</v>
      </c>
      <c r="C4956" t="s">
        <v>109</v>
      </c>
      <c r="D4956" s="8">
        <v>364.1</v>
      </c>
    </row>
    <row r="4957" spans="1:4" x14ac:dyDescent="0.45">
      <c r="A4957" s="7">
        <v>45727</v>
      </c>
      <c r="B4957" t="s">
        <v>97</v>
      </c>
      <c r="C4957" t="s">
        <v>101</v>
      </c>
      <c r="D4957" s="8">
        <v>416.06</v>
      </c>
    </row>
    <row r="4958" spans="1:4" x14ac:dyDescent="0.45">
      <c r="A4958" s="7">
        <v>45737</v>
      </c>
      <c r="B4958" t="s">
        <v>95</v>
      </c>
      <c r="C4958" t="s">
        <v>102</v>
      </c>
      <c r="D4958" s="8">
        <v>246.59</v>
      </c>
    </row>
    <row r="4959" spans="1:4" x14ac:dyDescent="0.45">
      <c r="A4959" s="7">
        <v>45663</v>
      </c>
      <c r="B4959" t="s">
        <v>95</v>
      </c>
      <c r="C4959" t="s">
        <v>96</v>
      </c>
      <c r="D4959" s="8">
        <v>-0.52</v>
      </c>
    </row>
    <row r="4960" spans="1:4" x14ac:dyDescent="0.45">
      <c r="A4960" s="7">
        <v>45490</v>
      </c>
      <c r="B4960" t="s">
        <v>97</v>
      </c>
      <c r="C4960" t="s">
        <v>107</v>
      </c>
      <c r="D4960" s="8">
        <v>186.8</v>
      </c>
    </row>
    <row r="4961" spans="1:4" x14ac:dyDescent="0.45">
      <c r="A4961" s="7">
        <v>45970</v>
      </c>
      <c r="B4961" t="s">
        <v>97</v>
      </c>
      <c r="C4961" t="s">
        <v>101</v>
      </c>
      <c r="D4961" s="8">
        <v>414</v>
      </c>
    </row>
    <row r="4962" spans="1:4" x14ac:dyDescent="0.45">
      <c r="A4962" s="7">
        <v>46057</v>
      </c>
      <c r="B4962" t="s">
        <v>95</v>
      </c>
      <c r="C4962" t="s">
        <v>102</v>
      </c>
      <c r="D4962" s="8">
        <v>256.39</v>
      </c>
    </row>
    <row r="4963" spans="1:4" x14ac:dyDescent="0.45">
      <c r="A4963" s="7">
        <v>46021</v>
      </c>
      <c r="B4963" t="s">
        <v>97</v>
      </c>
      <c r="C4963" t="s">
        <v>101</v>
      </c>
      <c r="D4963" s="8">
        <v>265.39999999999998</v>
      </c>
    </row>
    <row r="4964" spans="1:4" x14ac:dyDescent="0.45">
      <c r="A4964" s="7">
        <v>45355</v>
      </c>
      <c r="B4964" t="s">
        <v>97</v>
      </c>
      <c r="C4964" t="s">
        <v>107</v>
      </c>
      <c r="D4964" s="8">
        <v>274</v>
      </c>
    </row>
    <row r="4965" spans="1:4" x14ac:dyDescent="0.45">
      <c r="A4965" s="7">
        <v>45717</v>
      </c>
      <c r="B4965" t="s">
        <v>93</v>
      </c>
      <c r="C4965" t="s">
        <v>100</v>
      </c>
      <c r="D4965" s="8">
        <v>250.98</v>
      </c>
    </row>
    <row r="4966" spans="1:4" x14ac:dyDescent="0.45">
      <c r="A4966" s="7">
        <v>46049</v>
      </c>
      <c r="B4966" t="s">
        <v>93</v>
      </c>
      <c r="C4966" t="s">
        <v>103</v>
      </c>
      <c r="D4966" s="8">
        <v>349.54</v>
      </c>
    </row>
    <row r="4967" spans="1:4" x14ac:dyDescent="0.45">
      <c r="A4967" s="7">
        <v>45800</v>
      </c>
      <c r="B4967" t="s">
        <v>97</v>
      </c>
      <c r="C4967" t="s">
        <v>98</v>
      </c>
      <c r="D4967" s="8">
        <v>0.38</v>
      </c>
    </row>
    <row r="4968" spans="1:4" x14ac:dyDescent="0.45">
      <c r="A4968" s="7">
        <v>46078</v>
      </c>
      <c r="B4968" t="s">
        <v>97</v>
      </c>
      <c r="C4968" t="s">
        <v>107</v>
      </c>
      <c r="D4968" s="8">
        <v>222.79</v>
      </c>
    </row>
    <row r="4969" spans="1:4" x14ac:dyDescent="0.45">
      <c r="A4969" s="7">
        <v>45806</v>
      </c>
      <c r="B4969" t="s">
        <v>95</v>
      </c>
      <c r="C4969" t="s">
        <v>96</v>
      </c>
      <c r="D4969" s="8">
        <v>377.48</v>
      </c>
    </row>
    <row r="4970" spans="1:4" x14ac:dyDescent="0.45">
      <c r="A4970" s="7">
        <v>45870</v>
      </c>
      <c r="B4970" t="s">
        <v>93</v>
      </c>
      <c r="C4970" t="s">
        <v>103</v>
      </c>
      <c r="D4970" s="8">
        <v>12.4</v>
      </c>
    </row>
    <row r="4971" spans="1:4" x14ac:dyDescent="0.45">
      <c r="A4971" s="7">
        <v>46014</v>
      </c>
      <c r="B4971" t="s">
        <v>95</v>
      </c>
      <c r="C4971" t="s">
        <v>96</v>
      </c>
      <c r="D4971" s="8">
        <v>296.94</v>
      </c>
    </row>
    <row r="4972" spans="1:4" x14ac:dyDescent="0.45">
      <c r="A4972" s="7">
        <v>45301</v>
      </c>
      <c r="B4972" t="s">
        <v>97</v>
      </c>
      <c r="C4972" t="s">
        <v>104</v>
      </c>
      <c r="D4972" s="8">
        <v>381.17</v>
      </c>
    </row>
    <row r="4973" spans="1:4" x14ac:dyDescent="0.45">
      <c r="A4973" s="7">
        <v>45312</v>
      </c>
      <c r="B4973" t="s">
        <v>93</v>
      </c>
      <c r="C4973" t="s">
        <v>103</v>
      </c>
      <c r="D4973" s="8">
        <v>8.5299999999999994</v>
      </c>
    </row>
    <row r="4974" spans="1:4" x14ac:dyDescent="0.45">
      <c r="A4974" s="7">
        <v>46133</v>
      </c>
      <c r="B4974" t="s">
        <v>93</v>
      </c>
      <c r="C4974" t="s">
        <v>94</v>
      </c>
      <c r="D4974" s="8">
        <v>-10.67</v>
      </c>
    </row>
    <row r="4975" spans="1:4" x14ac:dyDescent="0.45">
      <c r="A4975" s="7">
        <v>45897</v>
      </c>
      <c r="B4975" t="s">
        <v>95</v>
      </c>
      <c r="C4975" t="s">
        <v>102</v>
      </c>
      <c r="D4975" s="8">
        <v>-118.06</v>
      </c>
    </row>
    <row r="4976" spans="1:4" x14ac:dyDescent="0.45">
      <c r="A4976" s="7">
        <v>45466</v>
      </c>
      <c r="B4976" t="s">
        <v>97</v>
      </c>
      <c r="C4976" t="s">
        <v>107</v>
      </c>
      <c r="D4976" s="8">
        <v>33.25</v>
      </c>
    </row>
    <row r="4977" spans="1:4" x14ac:dyDescent="0.45">
      <c r="A4977" s="7">
        <v>45629</v>
      </c>
      <c r="B4977" t="s">
        <v>93</v>
      </c>
      <c r="C4977" t="s">
        <v>100</v>
      </c>
      <c r="D4977" s="8">
        <v>384.99</v>
      </c>
    </row>
    <row r="4978" spans="1:4" x14ac:dyDescent="0.45">
      <c r="A4978" s="7">
        <v>46005</v>
      </c>
      <c r="B4978" t="s">
        <v>95</v>
      </c>
      <c r="C4978" t="s">
        <v>108</v>
      </c>
      <c r="D4978" s="8">
        <v>-9.1999999999999993</v>
      </c>
    </row>
    <row r="4979" spans="1:4" x14ac:dyDescent="0.45">
      <c r="A4979" s="7">
        <v>45624</v>
      </c>
      <c r="B4979" t="s">
        <v>95</v>
      </c>
      <c r="C4979" t="s">
        <v>105</v>
      </c>
      <c r="D4979" s="8">
        <v>76.239999999999995</v>
      </c>
    </row>
    <row r="4980" spans="1:4" x14ac:dyDescent="0.45">
      <c r="A4980" s="7">
        <v>45546</v>
      </c>
      <c r="B4980" t="s">
        <v>95</v>
      </c>
      <c r="C4980" t="s">
        <v>109</v>
      </c>
      <c r="D4980" s="8">
        <v>-106.18</v>
      </c>
    </row>
    <row r="4981" spans="1:4" x14ac:dyDescent="0.45">
      <c r="A4981" s="7">
        <v>45970</v>
      </c>
      <c r="B4981" t="s">
        <v>93</v>
      </c>
      <c r="C4981" t="s">
        <v>94</v>
      </c>
      <c r="D4981" s="8">
        <v>411.87</v>
      </c>
    </row>
    <row r="4982" spans="1:4" x14ac:dyDescent="0.45">
      <c r="A4982" s="7">
        <v>45527</v>
      </c>
      <c r="B4982" t="s">
        <v>95</v>
      </c>
      <c r="C4982" t="s">
        <v>96</v>
      </c>
      <c r="D4982" s="8">
        <v>-107.81</v>
      </c>
    </row>
    <row r="4983" spans="1:4" x14ac:dyDescent="0.45">
      <c r="A4983" s="7">
        <v>45625</v>
      </c>
      <c r="B4983" t="s">
        <v>97</v>
      </c>
      <c r="C4983" t="s">
        <v>98</v>
      </c>
      <c r="D4983" s="8">
        <v>239.79</v>
      </c>
    </row>
    <row r="4984" spans="1:4" x14ac:dyDescent="0.45">
      <c r="A4984" s="7">
        <v>45733</v>
      </c>
      <c r="B4984" t="s">
        <v>97</v>
      </c>
      <c r="C4984" t="s">
        <v>101</v>
      </c>
      <c r="D4984" s="8">
        <v>300.48</v>
      </c>
    </row>
    <row r="4985" spans="1:4" x14ac:dyDescent="0.45">
      <c r="A4985" s="7">
        <v>46036</v>
      </c>
      <c r="B4985" t="s">
        <v>97</v>
      </c>
      <c r="C4985" t="s">
        <v>98</v>
      </c>
      <c r="D4985" s="8">
        <v>-145.05000000000001</v>
      </c>
    </row>
    <row r="4986" spans="1:4" x14ac:dyDescent="0.45">
      <c r="A4986" s="7">
        <v>46037</v>
      </c>
      <c r="B4986" t="s">
        <v>95</v>
      </c>
      <c r="C4986" t="s">
        <v>99</v>
      </c>
      <c r="D4986" s="8">
        <v>151.58000000000001</v>
      </c>
    </row>
    <row r="4987" spans="1:4" x14ac:dyDescent="0.45">
      <c r="A4987" s="7">
        <v>45379</v>
      </c>
      <c r="B4987" t="s">
        <v>95</v>
      </c>
      <c r="C4987" t="s">
        <v>108</v>
      </c>
      <c r="D4987" s="8">
        <v>85.93</v>
      </c>
    </row>
    <row r="4988" spans="1:4" x14ac:dyDescent="0.45">
      <c r="A4988" s="7">
        <v>46136</v>
      </c>
      <c r="B4988" t="s">
        <v>95</v>
      </c>
      <c r="C4988" t="s">
        <v>102</v>
      </c>
      <c r="D4988" s="8">
        <v>391.32</v>
      </c>
    </row>
    <row r="4989" spans="1:4" x14ac:dyDescent="0.45">
      <c r="A4989" s="7">
        <v>45798</v>
      </c>
      <c r="B4989" t="s">
        <v>97</v>
      </c>
      <c r="C4989" t="s">
        <v>98</v>
      </c>
      <c r="D4989" s="8">
        <v>492.03</v>
      </c>
    </row>
    <row r="4990" spans="1:4" x14ac:dyDescent="0.45">
      <c r="A4990" s="7">
        <v>45388</v>
      </c>
      <c r="B4990" t="s">
        <v>95</v>
      </c>
      <c r="C4990" t="s">
        <v>99</v>
      </c>
      <c r="D4990" s="8">
        <v>462.31</v>
      </c>
    </row>
    <row r="4991" spans="1:4" x14ac:dyDescent="0.45">
      <c r="A4991" s="7">
        <v>45603</v>
      </c>
      <c r="B4991" t="s">
        <v>97</v>
      </c>
      <c r="C4991" t="s">
        <v>107</v>
      </c>
      <c r="D4991" s="8">
        <v>-85.3</v>
      </c>
    </row>
    <row r="4992" spans="1:4" x14ac:dyDescent="0.45">
      <c r="A4992" s="7">
        <v>45820</v>
      </c>
      <c r="B4992" t="s">
        <v>93</v>
      </c>
      <c r="C4992" t="s">
        <v>100</v>
      </c>
      <c r="D4992" s="8">
        <v>373.24</v>
      </c>
    </row>
    <row r="4993" spans="1:4" x14ac:dyDescent="0.45">
      <c r="A4993" s="7">
        <v>45550</v>
      </c>
      <c r="B4993" t="s">
        <v>93</v>
      </c>
      <c r="C4993" t="s">
        <v>103</v>
      </c>
      <c r="D4993" s="8">
        <v>133.03</v>
      </c>
    </row>
    <row r="4994" spans="1:4" x14ac:dyDescent="0.45">
      <c r="A4994" s="7">
        <v>45631</v>
      </c>
      <c r="B4994" t="s">
        <v>93</v>
      </c>
      <c r="C4994" t="s">
        <v>94</v>
      </c>
      <c r="D4994" s="8">
        <v>115.08</v>
      </c>
    </row>
    <row r="4995" spans="1:4" x14ac:dyDescent="0.45">
      <c r="A4995" s="7">
        <v>45599</v>
      </c>
      <c r="B4995" t="s">
        <v>93</v>
      </c>
      <c r="C4995" t="s">
        <v>106</v>
      </c>
      <c r="D4995" s="8">
        <v>-132.19</v>
      </c>
    </row>
    <row r="4996" spans="1:4" x14ac:dyDescent="0.45">
      <c r="A4996" s="7">
        <v>45685</v>
      </c>
      <c r="B4996" t="s">
        <v>95</v>
      </c>
      <c r="C4996" t="s">
        <v>99</v>
      </c>
      <c r="D4996" s="8">
        <v>-108.72</v>
      </c>
    </row>
    <row r="4997" spans="1:4" x14ac:dyDescent="0.45">
      <c r="A4997" s="7">
        <v>45528</v>
      </c>
      <c r="B4997" t="s">
        <v>93</v>
      </c>
      <c r="C4997" t="s">
        <v>94</v>
      </c>
      <c r="D4997" s="8">
        <v>285.77</v>
      </c>
    </row>
    <row r="4998" spans="1:4" x14ac:dyDescent="0.45">
      <c r="A4998" s="7">
        <v>45543</v>
      </c>
      <c r="B4998" t="s">
        <v>93</v>
      </c>
      <c r="C4998" t="s">
        <v>94</v>
      </c>
      <c r="D4998" s="8">
        <v>-138.97999999999999</v>
      </c>
    </row>
    <row r="4999" spans="1:4" x14ac:dyDescent="0.45">
      <c r="A4999" s="7">
        <v>46065</v>
      </c>
      <c r="B4999" t="s">
        <v>95</v>
      </c>
      <c r="C4999" t="s">
        <v>99</v>
      </c>
      <c r="D4999" s="8">
        <v>264.44</v>
      </c>
    </row>
    <row r="5000" spans="1:4" x14ac:dyDescent="0.45">
      <c r="A5000" s="7">
        <v>45499</v>
      </c>
      <c r="B5000" t="s">
        <v>93</v>
      </c>
      <c r="C5000" t="s">
        <v>103</v>
      </c>
      <c r="D5000" s="8">
        <v>376.69</v>
      </c>
    </row>
    <row r="5001" spans="1:4" x14ac:dyDescent="0.45">
      <c r="A5001" s="7">
        <v>45466</v>
      </c>
      <c r="B5001" t="s">
        <v>93</v>
      </c>
      <c r="C5001" t="s">
        <v>100</v>
      </c>
      <c r="D5001" s="8">
        <v>469.77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8C40A1AD3DC49A425D92A9CAD776A" ma:contentTypeVersion="6" ma:contentTypeDescription="Create a new document." ma:contentTypeScope="" ma:versionID="78b2411475a41249f73a503911330b4d">
  <xsd:schema xmlns:xsd="http://www.w3.org/2001/XMLSchema" xmlns:xs="http://www.w3.org/2001/XMLSchema" xmlns:p="http://schemas.microsoft.com/office/2006/metadata/properties" xmlns:ns3="dbf3d9ff-3173-4835-a03d-4c226091be57" targetNamespace="http://schemas.microsoft.com/office/2006/metadata/properties" ma:root="true" ma:fieldsID="c3143c16dc431dd8fe2331a722665849" ns3:_="">
    <xsd:import namespace="dbf3d9ff-3173-4835-a03d-4c226091be5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f3d9ff-3173-4835-a03d-4c226091be5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bf3d9ff-3173-4835-a03d-4c226091be57" xsi:nil="true"/>
  </documentManagement>
</p:properties>
</file>

<file path=customXml/itemProps1.xml><?xml version="1.0" encoding="utf-8"?>
<ds:datastoreItem xmlns:ds="http://schemas.openxmlformats.org/officeDocument/2006/customXml" ds:itemID="{8F454E65-7B0B-4FC4-8744-8731B893C5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4AC4FF-A92C-4DFC-B9FF-43011D162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f3d9ff-3173-4835-a03d-4c226091be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CC2669-AC9D-4059-8AAC-A6500230F13D}">
  <ds:schemaRefs>
    <ds:schemaRef ds:uri="http://schemas.microsoft.com/office/2006/metadata/properties"/>
    <ds:schemaRef ds:uri="http://schemas.microsoft.com/office/2006/documentManagement/types"/>
    <ds:schemaRef ds:uri="dbf3d9ff-3173-4835-a03d-4c226091be57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Reinschreiber, Barry  Alan</dc:creator>
  <cp:lastModifiedBy>Reinschreiber, Barry  Alan</cp:lastModifiedBy>
  <dcterms:created xsi:type="dcterms:W3CDTF">2026-08-02T10:58:34Z</dcterms:created>
  <dcterms:modified xsi:type="dcterms:W3CDTF">2026-08-02T17:38:19Z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0x0101004268C40A1AD3DC49A425D92A9CAD776A</vt:lpwstr>
  </property>
</Properties>
</file>